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0" documentId="8_{865B9626-D0A6-4A2D-A9CC-2C8990E916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4" r:id="rId1"/>
    <sheet name="Product_Master" sheetId="1" r:id="rId2"/>
    <sheet name="Purchase" sheetId="17" r:id="rId3"/>
    <sheet name="Sales" sheetId="3" r:id="rId4"/>
    <sheet name="Sales Reconciliation" sheetId="13" r:id="rId5"/>
    <sheet name="Expense " sheetId="5" r:id="rId6"/>
    <sheet name="Accounting" sheetId="14" r:id="rId7"/>
    <sheet name="Payroll" sheetId="15" r:id="rId8"/>
    <sheet name="Back_End" sheetId="16" r:id="rId9"/>
    <sheet name="Suppliers" sheetId="19" r:id="rId10"/>
    <sheet name="Adjustments" sheetId="18" r:id="rId11"/>
  </sheets>
  <calcPr calcId="191028"/>
  <pivotCaches>
    <pivotCache cacheId="159" r:id="rId12"/>
    <pivotCache cacheId="160" r:id="rId13"/>
    <pivotCache cacheId="16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16" i="4" l="1" a="1"/>
  <c r="S16" i="4" s="1"/>
  <c r="F24" i="3"/>
  <c r="G24" i="3"/>
  <c r="I24" i="3"/>
  <c r="J24" i="3"/>
  <c r="K24" i="3"/>
  <c r="Q24" i="3"/>
  <c r="R24" i="3"/>
  <c r="S24" i="3"/>
  <c r="Q6" i="1"/>
  <c r="Q7" i="1"/>
  <c r="Q26" i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M5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B3" i="18"/>
  <c r="B4" i="18"/>
  <c r="B2" i="18"/>
  <c r="F4" i="3"/>
  <c r="N8" i="15"/>
  <c r="N9" i="15"/>
  <c r="E16" i="13"/>
  <c r="E7" i="13"/>
  <c r="E15" i="13"/>
  <c r="E6" i="13"/>
  <c r="E14" i="13"/>
  <c r="E5" i="1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5" i="1"/>
  <c r="J17" i="17"/>
  <c r="L17" i="17" s="1"/>
  <c r="J18" i="17"/>
  <c r="L18" i="17" s="1"/>
  <c r="J19" i="17"/>
  <c r="L19" i="17" s="1"/>
  <c r="J20" i="17"/>
  <c r="L20" i="17" s="1"/>
  <c r="J21" i="17"/>
  <c r="L21" i="17" s="1"/>
  <c r="J22" i="17"/>
  <c r="L22" i="17" s="1"/>
  <c r="J23" i="17"/>
  <c r="L23" i="17" s="1"/>
  <c r="J3" i="17"/>
  <c r="L3" i="17" s="1"/>
  <c r="J4" i="17"/>
  <c r="L4" i="17" s="1"/>
  <c r="J5" i="17"/>
  <c r="L5" i="17" s="1"/>
  <c r="J6" i="17"/>
  <c r="L6" i="17" s="1"/>
  <c r="J7" i="17"/>
  <c r="L7" i="17" s="1"/>
  <c r="J8" i="17"/>
  <c r="L8" i="17" s="1"/>
  <c r="J9" i="17"/>
  <c r="L9" i="17" s="1"/>
  <c r="J10" i="17"/>
  <c r="L10" i="17" s="1"/>
  <c r="J11" i="17"/>
  <c r="L11" i="17" s="1"/>
  <c r="J12" i="17"/>
  <c r="L12" i="17" s="1"/>
  <c r="J13" i="17"/>
  <c r="L13" i="17" s="1"/>
  <c r="J14" i="17"/>
  <c r="L14" i="17" s="1"/>
  <c r="J15" i="17"/>
  <c r="L15" i="17" s="1"/>
  <c r="J16" i="17"/>
  <c r="L16" i="17" s="1"/>
  <c r="F23" i="17"/>
  <c r="G23" i="17"/>
  <c r="F22" i="17"/>
  <c r="G22" i="17"/>
  <c r="F21" i="17"/>
  <c r="G21" i="17"/>
  <c r="F20" i="17"/>
  <c r="G20" i="17"/>
  <c r="F19" i="17"/>
  <c r="G19" i="17"/>
  <c r="F18" i="17"/>
  <c r="G18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D26" i="1"/>
  <c r="E8" i="3" s="1"/>
  <c r="D5" i="1"/>
  <c r="E17" i="3" s="1"/>
  <c r="D6" i="1"/>
  <c r="H6" i="1" s="1"/>
  <c r="D7" i="1"/>
  <c r="H7" i="1" s="1"/>
  <c r="D8" i="1"/>
  <c r="H8" i="1" s="1"/>
  <c r="D9" i="1"/>
  <c r="E20" i="3" s="1"/>
  <c r="D10" i="1"/>
  <c r="E18" i="3" s="1"/>
  <c r="D11" i="1"/>
  <c r="D12" i="1"/>
  <c r="D13" i="1"/>
  <c r="H13" i="1" s="1"/>
  <c r="D14" i="1"/>
  <c r="H14" i="1" s="1"/>
  <c r="D15" i="1"/>
  <c r="H15" i="1" s="1"/>
  <c r="D16" i="1"/>
  <c r="H16" i="1" s="1"/>
  <c r="D17" i="1"/>
  <c r="H17" i="1" s="1"/>
  <c r="D18" i="1"/>
  <c r="H18" i="1" s="1"/>
  <c r="D19" i="1"/>
  <c r="D20" i="1"/>
  <c r="H20" i="1" s="1"/>
  <c r="D21" i="1"/>
  <c r="H21" i="1" s="1"/>
  <c r="D22" i="1"/>
  <c r="D23" i="1"/>
  <c r="H23" i="1" s="1"/>
  <c r="D24" i="1"/>
  <c r="E21" i="3" s="1"/>
  <c r="D25" i="1"/>
  <c r="N5" i="15"/>
  <c r="N4" i="15"/>
  <c r="Q3" i="3"/>
  <c r="Q4" i="3"/>
  <c r="Q5" i="3"/>
  <c r="Q6" i="3"/>
  <c r="Q7" i="3"/>
  <c r="Q8" i="3"/>
  <c r="N8" i="13"/>
  <c r="M8" i="13"/>
  <c r="M9" i="13" s="1"/>
  <c r="K17" i="14"/>
  <c r="K13" i="14"/>
  <c r="K8" i="14"/>
  <c r="G9" i="14"/>
  <c r="C20" i="14"/>
  <c r="C10" i="14"/>
  <c r="C5" i="14"/>
  <c r="C12" i="14" s="1"/>
  <c r="C22" i="14" s="1"/>
  <c r="C25" i="14" s="1"/>
  <c r="C28" i="14" s="1"/>
  <c r="G5" i="14" s="1"/>
  <c r="J14" i="13"/>
  <c r="J16" i="13" s="1"/>
  <c r="J13" i="13"/>
  <c r="M15" i="13"/>
  <c r="M14" i="13"/>
  <c r="M13" i="13"/>
  <c r="M16" i="13" s="1"/>
  <c r="J7" i="13"/>
  <c r="J6" i="13"/>
  <c r="J8" i="13" s="1"/>
  <c r="I7" i="13"/>
  <c r="I6" i="13"/>
  <c r="I8" i="13" s="1"/>
  <c r="I9" i="13" s="1"/>
  <c r="E8" i="13"/>
  <c r="E17" i="13"/>
  <c r="D17" i="13"/>
  <c r="D8" i="13"/>
  <c r="D9" i="13" s="1"/>
  <c r="E14" i="3" l="1"/>
  <c r="E24" i="3"/>
  <c r="D18" i="13"/>
  <c r="K9" i="13"/>
  <c r="H12" i="1"/>
  <c r="E22" i="3"/>
  <c r="H11" i="1"/>
  <c r="E23" i="3"/>
  <c r="H22" i="1"/>
  <c r="E19" i="3"/>
  <c r="H25" i="1"/>
  <c r="S25" i="1" s="1"/>
  <c r="E16" i="3"/>
  <c r="E9" i="3"/>
  <c r="E15" i="3"/>
  <c r="H19" i="1"/>
  <c r="S19" i="1" s="1"/>
  <c r="E13" i="3"/>
  <c r="H24" i="1"/>
  <c r="R24" i="1" s="1"/>
  <c r="E12" i="3"/>
  <c r="H9" i="1"/>
  <c r="R9" i="1" s="1"/>
  <c r="E11" i="3"/>
  <c r="H5" i="1"/>
  <c r="E10" i="3"/>
  <c r="H10" i="1"/>
  <c r="S10" i="1" s="1"/>
  <c r="E7" i="3"/>
  <c r="H26" i="1"/>
  <c r="S26" i="1" s="1"/>
  <c r="R25" i="1"/>
  <c r="R21" i="1"/>
  <c r="S21" i="1"/>
  <c r="R18" i="1"/>
  <c r="S18" i="1"/>
  <c r="R15" i="1"/>
  <c r="S15" i="1"/>
  <c r="R23" i="1"/>
  <c r="S23" i="1"/>
  <c r="R20" i="1"/>
  <c r="S20" i="1"/>
  <c r="R17" i="1"/>
  <c r="S17" i="1"/>
  <c r="R14" i="1"/>
  <c r="S14" i="1"/>
  <c r="R22" i="1"/>
  <c r="S22" i="1"/>
  <c r="R16" i="1"/>
  <c r="S16" i="1"/>
  <c r="R13" i="1"/>
  <c r="S13" i="1"/>
  <c r="R12" i="1"/>
  <c r="S12" i="1"/>
  <c r="R11" i="1"/>
  <c r="S11" i="1"/>
  <c r="R8" i="1"/>
  <c r="S8" i="1"/>
  <c r="R7" i="1"/>
  <c r="S7" i="1"/>
  <c r="R6" i="1"/>
  <c r="S6" i="1"/>
  <c r="E6" i="3"/>
  <c r="E5" i="3"/>
  <c r="E4" i="3"/>
  <c r="E3" i="3"/>
  <c r="G10" i="14"/>
  <c r="G13" i="14" s="1"/>
  <c r="G14" i="14" s="1"/>
  <c r="L26" i="1" l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O6" i="1" s="1"/>
  <c r="L5" i="1"/>
  <c r="O26" i="1"/>
  <c r="O25" i="1"/>
  <c r="Q25" i="1" s="1"/>
  <c r="O24" i="1"/>
  <c r="Q24" i="1" s="1"/>
  <c r="O23" i="1"/>
  <c r="Q23" i="1" s="1"/>
  <c r="O22" i="1"/>
  <c r="Q22" i="1" s="1"/>
  <c r="O21" i="1"/>
  <c r="Q21" i="1" s="1"/>
  <c r="O20" i="1"/>
  <c r="Q20" i="1" s="1"/>
  <c r="O19" i="1"/>
  <c r="Q19" i="1" s="1"/>
  <c r="O18" i="1"/>
  <c r="Q18" i="1" s="1"/>
  <c r="O17" i="1"/>
  <c r="Q17" i="1" s="1"/>
  <c r="O16" i="1"/>
  <c r="Q16" i="1" s="1"/>
  <c r="O15" i="1"/>
  <c r="Q15" i="1" s="1"/>
  <c r="O14" i="1"/>
  <c r="Q14" i="1" s="1"/>
  <c r="O13" i="1"/>
  <c r="Q13" i="1" s="1"/>
  <c r="O12" i="1"/>
  <c r="Q12" i="1" s="1"/>
  <c r="O11" i="1"/>
  <c r="Q11" i="1" s="1"/>
  <c r="O10" i="1"/>
  <c r="Q10" i="1" s="1"/>
  <c r="O9" i="1"/>
  <c r="Q9" i="1" s="1"/>
  <c r="O8" i="1"/>
  <c r="Q8" i="1" s="1"/>
  <c r="O7" i="1"/>
  <c r="O5" i="1"/>
  <c r="Q5" i="1" s="1"/>
  <c r="R19" i="1"/>
  <c r="S24" i="1"/>
  <c r="S9" i="1"/>
  <c r="R10" i="1"/>
  <c r="U26" i="1"/>
  <c r="R26" i="1"/>
  <c r="R5" i="1"/>
  <c r="S5" i="1"/>
  <c r="J5" i="3"/>
  <c r="K5" i="3" s="1"/>
  <c r="J6" i="3"/>
  <c r="K6" i="3" s="1"/>
  <c r="S6" i="3" s="1"/>
  <c r="J7" i="3"/>
  <c r="K7" i="3" s="1"/>
  <c r="S7" i="3" s="1"/>
  <c r="J8" i="3"/>
  <c r="K8" i="3" s="1"/>
  <c r="S8" i="3" s="1"/>
  <c r="J4" i="3"/>
  <c r="K4" i="3" s="1"/>
  <c r="J3" i="3"/>
  <c r="K3" i="3" s="1"/>
  <c r="F3" i="3"/>
  <c r="G3" i="3"/>
  <c r="G4" i="3"/>
  <c r="G8" i="3"/>
  <c r="G7" i="3"/>
  <c r="G6" i="3"/>
  <c r="G5" i="3"/>
  <c r="F8" i="3"/>
  <c r="F7" i="3"/>
  <c r="F6" i="3"/>
  <c r="F5" i="3"/>
  <c r="K2" i="1"/>
  <c r="U6" i="1" l="1"/>
  <c r="R4" i="3"/>
  <c r="S4" i="3"/>
  <c r="S5" i="3"/>
  <c r="R5" i="3"/>
  <c r="S3" i="3"/>
  <c r="R3" i="3"/>
  <c r="R8" i="3"/>
  <c r="R7" i="3"/>
  <c r="R6" i="3"/>
  <c r="M2" i="1"/>
  <c r="U5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C5" i="4" l="1"/>
  <c r="F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<sst xmlns="http://schemas.openxmlformats.org/spreadsheetml/2006/main" count="516" uniqueCount="307">
  <si>
    <t>INVENTORY DASHBOARD</t>
  </si>
  <si>
    <t>PROFIT DASHBOARD</t>
  </si>
  <si>
    <t>Stock Unit</t>
  </si>
  <si>
    <t>Inventory Value</t>
  </si>
  <si>
    <t>Potential Revenue</t>
  </si>
  <si>
    <t>Date</t>
  </si>
  <si>
    <t>Sum of Quantity</t>
  </si>
  <si>
    <t>Due Invoices (Payable)</t>
  </si>
  <si>
    <t>Due</t>
  </si>
  <si>
    <t xml:space="preserve">Supplier </t>
  </si>
  <si>
    <t>Amount</t>
  </si>
  <si>
    <t>Reorder Status</t>
  </si>
  <si>
    <t>(All)</t>
  </si>
  <si>
    <t>Product Name</t>
  </si>
  <si>
    <t>P1</t>
  </si>
  <si>
    <t>P2</t>
  </si>
  <si>
    <t>P3</t>
  </si>
  <si>
    <t>P4</t>
  </si>
  <si>
    <t>P5</t>
  </si>
  <si>
    <t>P6</t>
  </si>
  <si>
    <t>(blank)</t>
  </si>
  <si>
    <t>P1 - P6</t>
  </si>
  <si>
    <t>Grand Total</t>
  </si>
  <si>
    <t>P1 - P4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</si>
  <si>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</si>
  <si>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</si>
  <si>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</si>
  <si>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</si>
  <si>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</si>
  <si>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</si>
  <si>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</si>
  <si>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</si>
  <si>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</si>
  <si>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</si>
  <si>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</si>
  <si>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</si>
  <si>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</si>
  <si>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</si>
  <si>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Count of Reorder Status</t>
  </si>
  <si>
    <t>In Stock</t>
  </si>
  <si>
    <t>Adjustments (+)</t>
  </si>
  <si>
    <t>Find product</t>
  </si>
  <si>
    <t>Quantity on Hand</t>
  </si>
  <si>
    <t>INVENTORY</t>
  </si>
  <si>
    <t>S/N</t>
  </si>
  <si>
    <t>SKU</t>
  </si>
  <si>
    <t>Parent SKU</t>
  </si>
  <si>
    <t>Category</t>
  </si>
  <si>
    <t>Pack Quantity</t>
  </si>
  <si>
    <t>Unit Cost</t>
  </si>
  <si>
    <t>Unit Price</t>
  </si>
  <si>
    <t>Initial Stock</t>
  </si>
  <si>
    <t>Total Received</t>
  </si>
  <si>
    <t>Total Sold</t>
  </si>
  <si>
    <t>Adjustments (-)</t>
  </si>
  <si>
    <t>On Hand</t>
  </si>
  <si>
    <t>Reorder Point</t>
  </si>
  <si>
    <t>Margin</t>
  </si>
  <si>
    <t>Profit</t>
  </si>
  <si>
    <t>Expiration Date</t>
  </si>
  <si>
    <t>SKU-001</t>
  </si>
  <si>
    <t>Beverage</t>
  </si>
  <si>
    <t>SKU-001-P6</t>
  </si>
  <si>
    <t>SKU-001-P4</t>
  </si>
  <si>
    <t>SKU-002</t>
  </si>
  <si>
    <t>Stationary</t>
  </si>
  <si>
    <t>SKU-003</t>
  </si>
  <si>
    <t>Household</t>
  </si>
  <si>
    <t>SKU-004</t>
  </si>
  <si>
    <t>Sanitary</t>
  </si>
  <si>
    <t>SKU-005</t>
  </si>
  <si>
    <t>Toiletry</t>
  </si>
  <si>
    <t>SKU-006</t>
  </si>
  <si>
    <t>Pasteries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</si>
  <si>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</si>
  <si>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</si>
  <si>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</si>
  <si>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</si>
  <si>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</si>
  <si>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</si>
  <si>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</si>
  <si>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</si>
  <si>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</si>
  <si>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</si>
  <si>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</si>
  <si>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</si>
  <si>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</si>
  <si>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SKU-019-20</t>
  </si>
  <si>
    <t>STOCK-IN</t>
  </si>
  <si>
    <t>Transaction ID</t>
  </si>
  <si>
    <t>Supplier</t>
  </si>
  <si>
    <t>Quantity</t>
  </si>
  <si>
    <t>Total purcahse</t>
  </si>
  <si>
    <t>Paid</t>
  </si>
  <si>
    <t>Balance to Pay</t>
  </si>
  <si>
    <t>Due Date</t>
  </si>
  <si>
    <t>Recieved by</t>
  </si>
  <si>
    <t>P00001</t>
  </si>
  <si>
    <t>Bederco</t>
  </si>
  <si>
    <t>Mary</t>
  </si>
  <si>
    <t>P00002</t>
  </si>
  <si>
    <t>P00003</t>
  </si>
  <si>
    <t>P00004</t>
  </si>
  <si>
    <t>P00005</t>
  </si>
  <si>
    <t>P00006</t>
  </si>
  <si>
    <t>King James</t>
  </si>
  <si>
    <t>P00007</t>
  </si>
  <si>
    <t>P00008</t>
  </si>
  <si>
    <t>P00009</t>
  </si>
  <si>
    <t>P00010</t>
  </si>
  <si>
    <t>P00011</t>
  </si>
  <si>
    <t>P00012</t>
  </si>
  <si>
    <t>P00013</t>
  </si>
  <si>
    <t>Sujaco Empire</t>
  </si>
  <si>
    <t>P00014</t>
  </si>
  <si>
    <t>P00015</t>
  </si>
  <si>
    <t>P00016</t>
  </si>
  <si>
    <t>P00017</t>
  </si>
  <si>
    <t>Mama didi Plaza</t>
  </si>
  <si>
    <t>P00018</t>
  </si>
  <si>
    <t>P00019</t>
  </si>
  <si>
    <t>P00020</t>
  </si>
  <si>
    <t>P00021</t>
  </si>
  <si>
    <t>STOCK-OUT</t>
  </si>
  <si>
    <t>Base Quantity</t>
  </si>
  <si>
    <t>Total Revenue</t>
  </si>
  <si>
    <t xml:space="preserve">Customer </t>
  </si>
  <si>
    <t>Cashier</t>
  </si>
  <si>
    <t>POS</t>
  </si>
  <si>
    <t>Transfer</t>
  </si>
  <si>
    <t>Cash</t>
  </si>
  <si>
    <t xml:space="preserve">Total Paid </t>
  </si>
  <si>
    <t>Outstanding</t>
  </si>
  <si>
    <t>Net Profit</t>
  </si>
  <si>
    <t>S00001</t>
  </si>
  <si>
    <t>John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</si>
  <si>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</si>
  <si>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</si>
  <si>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</si>
  <si>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</si>
  <si>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</si>
  <si>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</si>
  <si>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</si>
  <si>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</si>
  <si>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</si>
  <si>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</si>
  <si>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</si>
  <si>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</si>
  <si>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</si>
  <si>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</si>
  <si>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</si>
  <si>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</si>
  <si>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</si>
  <si>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</si>
  <si>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</si>
  <si>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</si>
  <si>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</si>
  <si>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Sarah</t>
  </si>
  <si>
    <t>Cashiers Registry</t>
  </si>
  <si>
    <t>Cashier &amp; Bank Reconciliation</t>
  </si>
  <si>
    <t>Cashier 1</t>
  </si>
  <si>
    <t>Registers</t>
  </si>
  <si>
    <t>Physical Values</t>
  </si>
  <si>
    <t>System Value</t>
  </si>
  <si>
    <t>Cashiers Report</t>
  </si>
  <si>
    <t>POS MACHINE REPORTS</t>
  </si>
  <si>
    <t>CASH</t>
  </si>
  <si>
    <t>REGISTER</t>
  </si>
  <si>
    <t>POS-TERMINALS</t>
  </si>
  <si>
    <t>BANK-TRANSFERS</t>
  </si>
  <si>
    <t>Machine(s)</t>
  </si>
  <si>
    <t>PURCHASES</t>
  </si>
  <si>
    <t>TRANSFER</t>
  </si>
  <si>
    <t>POS-TERMINAL</t>
  </si>
  <si>
    <t>MONIEPOINT</t>
  </si>
  <si>
    <t>Cashier 2</t>
  </si>
  <si>
    <t>OPAY</t>
  </si>
  <si>
    <t>TOTAL</t>
  </si>
  <si>
    <t>Total</t>
  </si>
  <si>
    <t>Diff (+)(-)</t>
  </si>
  <si>
    <t>Cash Summary</t>
  </si>
  <si>
    <t>Payment Summary</t>
  </si>
  <si>
    <t>Name</t>
  </si>
  <si>
    <t>Sys.Cash</t>
  </si>
  <si>
    <t>T. Cash</t>
  </si>
  <si>
    <t>Phy. Cash</t>
  </si>
  <si>
    <t>T. POS</t>
  </si>
  <si>
    <t>Expenses</t>
  </si>
  <si>
    <t>T. Trfs</t>
  </si>
  <si>
    <t>Cash @ Hand</t>
  </si>
  <si>
    <t>G. Total</t>
  </si>
  <si>
    <t>Expense Sheet</t>
  </si>
  <si>
    <t>Item</t>
  </si>
  <si>
    <t>Payment Type</t>
  </si>
  <si>
    <t>Transport</t>
  </si>
  <si>
    <t>Logistics</t>
  </si>
  <si>
    <t xml:space="preserve">Airtime for office phone </t>
  </si>
  <si>
    <t>60 Leaves for Account Record</t>
  </si>
  <si>
    <t>Income statement</t>
  </si>
  <si>
    <t>Revenue</t>
  </si>
  <si>
    <t>Cash Flow</t>
  </si>
  <si>
    <t>Balance Sheet</t>
  </si>
  <si>
    <t>Returns(B&amp;Ds)</t>
  </si>
  <si>
    <t>Beginning Cash</t>
  </si>
  <si>
    <t>input</t>
  </si>
  <si>
    <t>=Cash Flow Ending Cash</t>
  </si>
  <si>
    <t>Net Sales</t>
  </si>
  <si>
    <t>Net Income</t>
  </si>
  <si>
    <t>Receivables</t>
  </si>
  <si>
    <t>Accounts Payable</t>
  </si>
  <si>
    <t>Inventory</t>
  </si>
  <si>
    <t>Beginning Inventory</t>
  </si>
  <si>
    <t>Accounts Receivable</t>
  </si>
  <si>
    <t>Equipment</t>
  </si>
  <si>
    <t>Purchases</t>
  </si>
  <si>
    <t>Depreciation</t>
  </si>
  <si>
    <t>TOTAL ASSETS</t>
  </si>
  <si>
    <t>Closing Inventory Value</t>
  </si>
  <si>
    <t>Non-cash Adjustments</t>
  </si>
  <si>
    <t>Cost of Goods Sold</t>
  </si>
  <si>
    <t>Operating Cash</t>
  </si>
  <si>
    <t>Supplier Payables</t>
  </si>
  <si>
    <t>Investing Cash</t>
  </si>
  <si>
    <t xml:space="preserve">input </t>
  </si>
  <si>
    <t>Staff Salaries Owed</t>
  </si>
  <si>
    <t>Gross Profit.</t>
  </si>
  <si>
    <t>Financing Cash</t>
  </si>
  <si>
    <t>Loans</t>
  </si>
  <si>
    <t>Net Change</t>
  </si>
  <si>
    <t>TOTAL LIABILITIES</t>
  </si>
  <si>
    <t>Salaries/Wages</t>
  </si>
  <si>
    <t>Ending Cash</t>
  </si>
  <si>
    <t>Utility</t>
  </si>
  <si>
    <t>Owner Capital</t>
  </si>
  <si>
    <t>Rent</t>
  </si>
  <si>
    <t>Retained Profit</t>
  </si>
  <si>
    <t>=Net Profit</t>
  </si>
  <si>
    <t>Maintainance</t>
  </si>
  <si>
    <t>TOTAL EQUITY</t>
  </si>
  <si>
    <t>Others</t>
  </si>
  <si>
    <t>Total Operating Expense</t>
  </si>
  <si>
    <t xml:space="preserve">Operating Profit                    </t>
  </si>
  <si>
    <t xml:space="preserve">Other Income                   </t>
  </si>
  <si>
    <t>Income (before Taxes)</t>
  </si>
  <si>
    <t>Acured tax</t>
  </si>
  <si>
    <t>Payroll Summary</t>
  </si>
  <si>
    <t>DEPARTMENT/NAME</t>
  </si>
  <si>
    <t>POSITION</t>
  </si>
  <si>
    <t>BANK DETAILS</t>
  </si>
  <si>
    <t>ARREARS</t>
  </si>
  <si>
    <t>Column1</t>
  </si>
  <si>
    <t>SHORTFALLS</t>
  </si>
  <si>
    <t>LATENESS</t>
  </si>
  <si>
    <t>ABSENT</t>
  </si>
  <si>
    <t>IOU</t>
  </si>
  <si>
    <t>SURCHARGE</t>
  </si>
  <si>
    <t>TAX</t>
  </si>
  <si>
    <t>GROSS PAY</t>
  </si>
  <si>
    <t>NET PAY</t>
  </si>
  <si>
    <t>ADMINSTRATIVE</t>
  </si>
  <si>
    <t>Samuel John</t>
  </si>
  <si>
    <t>Manager</t>
  </si>
  <si>
    <t>Fidelity - xxxxxxxxx</t>
  </si>
  <si>
    <t>Captin Jack</t>
  </si>
  <si>
    <t>Ass. manager</t>
  </si>
  <si>
    <t>Access- xxxxxxxxx</t>
  </si>
  <si>
    <t>Success Grace</t>
  </si>
  <si>
    <t>Head Inventory/Oficcer</t>
  </si>
  <si>
    <t>First Bank- xxxxxxxxx</t>
  </si>
  <si>
    <t xml:space="preserve">Magnus Olive </t>
  </si>
  <si>
    <t>Inventory Personnel</t>
  </si>
  <si>
    <t>Opay - xxxxxxxxx</t>
  </si>
  <si>
    <t>Master Categories</t>
  </si>
  <si>
    <t>Pharmaceuticals</t>
  </si>
  <si>
    <t>Toiletries</t>
  </si>
  <si>
    <t>Pastries</t>
  </si>
  <si>
    <t>Suppliers Details</t>
  </si>
  <si>
    <t>Vendors Name</t>
  </si>
  <si>
    <t>Address</t>
  </si>
  <si>
    <t>Phone</t>
  </si>
  <si>
    <t>Website</t>
  </si>
  <si>
    <t>Bank details</t>
  </si>
  <si>
    <t xml:space="preserve">55 Airplan </t>
  </si>
  <si>
    <t>(+234)8059834678</t>
  </si>
  <si>
    <t>jigi.com</t>
  </si>
  <si>
    <t>Access - 1086358903</t>
  </si>
  <si>
    <t>22 Apapa</t>
  </si>
  <si>
    <t>(+234)9063437822</t>
  </si>
  <si>
    <t>fifi.ng</t>
  </si>
  <si>
    <t>Opay - 78903673764</t>
  </si>
  <si>
    <t>Gift Ventures</t>
  </si>
  <si>
    <t>16 Caroline</t>
  </si>
  <si>
    <t>(+234)8075437925</t>
  </si>
  <si>
    <t>huji.com</t>
  </si>
  <si>
    <t>Eco - 090865370</t>
  </si>
  <si>
    <t>Great Ventures</t>
  </si>
  <si>
    <t>Maitama</t>
  </si>
  <si>
    <t>Hawayi.entertaiment.com</t>
  </si>
  <si>
    <t>UBA - 090865370</t>
  </si>
  <si>
    <t>Type</t>
  </si>
  <si>
    <t xml:space="preserve">Reason </t>
  </si>
  <si>
    <t>Scrap</t>
  </si>
  <si>
    <t>Bad &amp; Damaged</t>
  </si>
  <si>
    <t>Adjustment - Add</t>
  </si>
  <si>
    <t>Found</t>
  </si>
  <si>
    <t>Adjustment (-)</t>
  </si>
  <si>
    <t>Stolen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</si>
</sst>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₦-470]* #,##0.00_-;\-[$₦-470]* #,##0.00_-;_-[$₦-470]* &quot;-&quot;??_-;_-@_-"/>
    <numFmt numFmtId="165" formatCode="[$₦-470]#,##0.00"/>
    <numFmt numFmtId="166" formatCode="_-[$₦-468]\ * #,##0.00_-;\-[$₦-468]\ * #,##0.00_-;_-[$₦-468]\ 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rgb="FFFF0000"/>
      <name val="Angsana New"/>
    </font>
    <font>
      <sz val="24"/>
      <color rgb="FF73B346"/>
      <name val="Angsana New"/>
    </font>
    <font>
      <sz val="24"/>
      <color theme="1"/>
      <name val="Angsana New"/>
    </font>
    <font>
      <sz val="26"/>
      <color theme="5" tint="-0.249977111117893"/>
      <name val="Angsana New"/>
    </font>
    <font>
      <b/>
      <sz val="11"/>
      <color rgb="FF242424"/>
      <name val="Aptos Narrow"/>
      <charset val="1"/>
    </font>
    <font>
      <sz val="18"/>
      <color theme="1"/>
      <name val="Angsana New"/>
    </font>
    <font>
      <sz val="24"/>
      <color theme="4"/>
      <name val="Angsana New"/>
    </font>
    <font>
      <sz val="11"/>
      <color rgb="FF69691C"/>
      <name val="Calibri"/>
      <family val="2"/>
      <scheme val="minor"/>
    </font>
    <font>
      <sz val="24"/>
      <color rgb="FF7A7A20"/>
      <name val="Angsana New"/>
    </font>
    <font>
      <sz val="11"/>
      <color rgb="FF242424"/>
      <name val="Consolas"/>
      <charset val="1"/>
    </font>
    <font>
      <sz val="16"/>
      <color theme="1"/>
      <name val="Angsana New"/>
    </font>
    <font>
      <sz val="11"/>
      <color theme="1"/>
      <name val="STXingka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ADE8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theme="0" tint="-0.14999847407452621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9" tint="-0.249977111117893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14" fontId="0" fillId="0" borderId="0" xfId="0" applyNumberForma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2" fillId="0" borderId="0" xfId="0" applyFont="1"/>
    <xf numFmtId="3" fontId="0" fillId="0" borderId="0" xfId="0" applyNumberFormat="1"/>
    <xf numFmtId="0" fontId="0" fillId="0" borderId="0" xfId="0" applyAlignment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wrapText="1"/>
    </xf>
    <xf numFmtId="0" fontId="0" fillId="0" borderId="0" xfId="0" quotePrefix="1"/>
    <xf numFmtId="0" fontId="5" fillId="0" borderId="0" xfId="0" applyFont="1"/>
    <xf numFmtId="0" fontId="2" fillId="0" borderId="10" xfId="0" applyFont="1" applyBorder="1"/>
    <xf numFmtId="0" fontId="2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4" fillId="0" borderId="10" xfId="0" applyFont="1" applyBorder="1"/>
    <xf numFmtId="0" fontId="0" fillId="0" borderId="13" xfId="0" applyBorder="1"/>
    <xf numFmtId="0" fontId="2" fillId="0" borderId="13" xfId="0" applyFont="1" applyBorder="1"/>
    <xf numFmtId="0" fontId="0" fillId="0" borderId="11" xfId="0" quotePrefix="1" applyBorder="1"/>
    <xf numFmtId="3" fontId="2" fillId="0" borderId="11" xfId="0" applyNumberFormat="1" applyFont="1" applyBorder="1"/>
    <xf numFmtId="0" fontId="0" fillId="0" borderId="15" xfId="0" applyBorder="1"/>
    <xf numFmtId="0" fontId="0" fillId="0" borderId="16" xfId="0" quotePrefix="1" applyBorder="1"/>
    <xf numFmtId="0" fontId="2" fillId="0" borderId="17" xfId="0" applyFont="1" applyBorder="1"/>
    <xf numFmtId="3" fontId="2" fillId="0" borderId="18" xfId="0" applyNumberFormat="1" applyFont="1" applyBorder="1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horizontal="center"/>
    </xf>
    <xf numFmtId="0" fontId="8" fillId="0" borderId="19" xfId="0" applyFont="1" applyBorder="1"/>
    <xf numFmtId="0" fontId="0" fillId="0" borderId="0" xfId="0" applyBorder="1" applyAlignment="1">
      <alignment wrapText="1"/>
    </xf>
    <xf numFmtId="0" fontId="0" fillId="0" borderId="0" xfId="0" applyNumberFormat="1" applyBorder="1"/>
    <xf numFmtId="10" fontId="0" fillId="0" borderId="0" xfId="0" applyNumberFormat="1"/>
    <xf numFmtId="10" fontId="0" fillId="0" borderId="0" xfId="0" applyNumberFormat="1" applyBorder="1"/>
    <xf numFmtId="10" fontId="0" fillId="0" borderId="0" xfId="0" applyNumberFormat="1" applyBorder="1" applyAlignment="1">
      <alignment wrapText="1"/>
    </xf>
    <xf numFmtId="0" fontId="9" fillId="0" borderId="0" xfId="0" applyFont="1"/>
    <xf numFmtId="0" fontId="0" fillId="0" borderId="20" xfId="0" applyBorder="1"/>
    <xf numFmtId="0" fontId="0" fillId="5" borderId="0" xfId="0" applyFill="1"/>
    <xf numFmtId="0" fontId="0" fillId="5" borderId="20" xfId="0" applyFill="1" applyBorder="1"/>
    <xf numFmtId="0" fontId="0" fillId="5" borderId="0" xfId="0" applyFill="1" applyAlignment="1">
      <alignment horizontal="center"/>
    </xf>
    <xf numFmtId="164" fontId="0" fillId="0" borderId="0" xfId="0" applyNumberFormat="1"/>
    <xf numFmtId="164" fontId="0" fillId="0" borderId="0" xfId="0" applyNumberFormat="1" applyBorder="1"/>
    <xf numFmtId="166" fontId="0" fillId="5" borderId="0" xfId="0" applyNumberFormat="1" applyFill="1" applyAlignment="1">
      <alignment horizontal="center"/>
    </xf>
    <xf numFmtId="0" fontId="0" fillId="5" borderId="21" xfId="0" applyFill="1" applyBorder="1"/>
    <xf numFmtId="0" fontId="0" fillId="5" borderId="0" xfId="0" applyFill="1" applyAlignment="1">
      <alignment horizontal="center" vertical="top" wrapText="1"/>
    </xf>
    <xf numFmtId="0" fontId="3" fillId="0" borderId="0" xfId="0" applyFont="1"/>
    <xf numFmtId="16" fontId="0" fillId="0" borderId="0" xfId="0" applyNumberFormat="1" applyBorder="1"/>
    <xf numFmtId="0" fontId="7" fillId="0" borderId="22" xfId="0" applyFont="1" applyBorder="1"/>
    <xf numFmtId="0" fontId="9" fillId="0" borderId="0" xfId="0" applyFont="1" applyAlignment="1">
      <alignment wrapText="1"/>
    </xf>
    <xf numFmtId="14" fontId="3" fillId="0" borderId="0" xfId="0" applyNumberFormat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0" applyNumberFormat="1" applyBorder="1"/>
    <xf numFmtId="43" fontId="0" fillId="0" borderId="0" xfId="0" applyNumberFormat="1" applyBorder="1" applyAlignment="1">
      <alignment wrapText="1"/>
    </xf>
    <xf numFmtId="43" fontId="9" fillId="0" borderId="0" xfId="0" applyNumberFormat="1" applyFont="1"/>
    <xf numFmtId="0" fontId="2" fillId="6" borderId="10" xfId="0" applyFont="1" applyFill="1" applyBorder="1"/>
    <xf numFmtId="0" fontId="2" fillId="6" borderId="11" xfId="0" applyFont="1" applyFill="1" applyBorder="1"/>
    <xf numFmtId="164" fontId="0" fillId="6" borderId="10" xfId="0" applyNumberFormat="1" applyFill="1" applyBorder="1"/>
    <xf numFmtId="0" fontId="0" fillId="6" borderId="0" xfId="0" applyFill="1"/>
    <xf numFmtId="0" fontId="0" fillId="6" borderId="23" xfId="0" applyFill="1" applyBorder="1"/>
    <xf numFmtId="0" fontId="0" fillId="6" borderId="24" xfId="0" applyFill="1" applyBorder="1"/>
    <xf numFmtId="0" fontId="0" fillId="6" borderId="0" xfId="0" applyFill="1" applyBorder="1"/>
    <xf numFmtId="0" fontId="0" fillId="6" borderId="12" xfId="0" applyFill="1" applyBorder="1"/>
    <xf numFmtId="0" fontId="2" fillId="6" borderId="12" xfId="0" applyFont="1" applyFill="1" applyBorder="1"/>
    <xf numFmtId="0" fontId="0" fillId="6" borderId="10" xfId="0" applyFill="1" applyBorder="1"/>
    <xf numFmtId="164" fontId="0" fillId="6" borderId="10" xfId="0" applyNumberFormat="1" applyFill="1" applyBorder="1" applyAlignment="1">
      <alignment horizontal="right"/>
    </xf>
    <xf numFmtId="165" fontId="0" fillId="6" borderId="10" xfId="0" applyNumberFormat="1" applyFill="1" applyBorder="1" applyAlignment="1">
      <alignment horizontal="center"/>
    </xf>
    <xf numFmtId="0" fontId="2" fillId="6" borderId="10" xfId="0" applyFont="1" applyFill="1" applyBorder="1" applyAlignment="1">
      <alignment horizontal="right"/>
    </xf>
    <xf numFmtId="15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2" fillId="6" borderId="10" xfId="0" applyNumberFormat="1" applyFont="1" applyFill="1" applyBorder="1" applyAlignment="1">
      <alignment horizontal="right"/>
    </xf>
    <xf numFmtId="0" fontId="0" fillId="6" borderId="21" xfId="0" applyFill="1" applyBorder="1" applyAlignment="1"/>
    <xf numFmtId="0" fontId="0" fillId="6" borderId="27" xfId="0" applyFill="1" applyBorder="1"/>
    <xf numFmtId="0" fontId="0" fillId="6" borderId="30" xfId="0" applyFill="1" applyBorder="1"/>
    <xf numFmtId="0" fontId="2" fillId="6" borderId="34" xfId="0" applyFont="1" applyFill="1" applyBorder="1"/>
    <xf numFmtId="0" fontId="0" fillId="6" borderId="21" xfId="0" applyFill="1" applyBorder="1"/>
    <xf numFmtId="0" fontId="2" fillId="6" borderId="38" xfId="0" applyFont="1" applyFill="1" applyBorder="1"/>
    <xf numFmtId="164" fontId="0" fillId="6" borderId="39" xfId="0" applyNumberFormat="1" applyFill="1" applyBorder="1" applyAlignment="1">
      <alignment horizontal="right"/>
    </xf>
    <xf numFmtId="0" fontId="0" fillId="6" borderId="41" xfId="0" applyFill="1" applyBorder="1"/>
    <xf numFmtId="0" fontId="0" fillId="6" borderId="42" xfId="0" applyFill="1" applyBorder="1"/>
    <xf numFmtId="0" fontId="0" fillId="6" borderId="43" xfId="0" applyFill="1" applyBorder="1"/>
    <xf numFmtId="0" fontId="0" fillId="6" borderId="44" xfId="0" applyFill="1" applyBorder="1"/>
    <xf numFmtId="0" fontId="0" fillId="6" borderId="45" xfId="0" applyFill="1" applyBorder="1"/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43" fontId="6" fillId="0" borderId="0" xfId="0" applyNumberFormat="1" applyFont="1"/>
    <xf numFmtId="0" fontId="17" fillId="0" borderId="0" xfId="0" applyFont="1" applyBorder="1" applyAlignment="1">
      <alignment horizontal="center"/>
    </xf>
    <xf numFmtId="0" fontId="21" fillId="0" borderId="0" xfId="0" applyFont="1"/>
    <xf numFmtId="1" fontId="0" fillId="0" borderId="0" xfId="0" applyNumberFormat="1"/>
    <xf numFmtId="1" fontId="2" fillId="0" borderId="0" xfId="0" applyNumberFormat="1" applyFont="1"/>
    <xf numFmtId="0" fontId="23" fillId="0" borderId="0" xfId="0" applyFont="1"/>
    <xf numFmtId="0" fontId="0" fillId="0" borderId="0" xfId="0" quotePrefix="1" applyBorder="1"/>
    <xf numFmtId="3" fontId="2" fillId="0" borderId="0" xfId="0" applyNumberFormat="1" applyFont="1" applyBorder="1"/>
    <xf numFmtId="14" fontId="0" fillId="0" borderId="0" xfId="0" applyNumberFormat="1"/>
    <xf numFmtId="14" fontId="9" fillId="0" borderId="0" xfId="0" applyNumberFormat="1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0" borderId="26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7" fillId="0" borderId="2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6" borderId="29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5" fontId="0" fillId="6" borderId="11" xfId="0" applyNumberFormat="1" applyFill="1" applyBorder="1" applyAlignment="1">
      <alignment horizontal="center" vertical="center" wrapText="1"/>
    </xf>
    <xf numFmtId="165" fontId="0" fillId="6" borderId="13" xfId="0" applyNumberForma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165" fontId="0" fillId="6" borderId="40" xfId="0" applyNumberForma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/>
    </xf>
    <xf numFmtId="0" fontId="0" fillId="6" borderId="25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165" fontId="0" fillId="6" borderId="35" xfId="0" applyNumberFormat="1" applyFill="1" applyBorder="1" applyAlignment="1">
      <alignment horizontal="center" vertical="center" wrapText="1"/>
    </xf>
    <xf numFmtId="165" fontId="0" fillId="6" borderId="36" xfId="0" applyNumberForma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54">
    <dxf>
      <border outline="0">
        <bottom style="thin">
          <color rgb="FFC4C7C5"/>
        </bottom>
      </border>
    </dxf>
    <dxf>
      <border outline="0">
        <top style="thin">
          <color rgb="FFC4C7C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</dxf>
    <dxf>
      <numFmt numFmtId="35" formatCode="_-* #,##0.00_-;\-* #,##0.00_-;_-* &quot;-&quot;??_-;_-@_-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19" formatCode="dd/mm/yyyy"/>
    </dxf>
    <dxf>
      <font>
        <sz val="12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numFmt numFmtId="19" formatCode="dd/mm/yyyy"/>
    </dxf>
    <dxf>
      <numFmt numFmtId="164" formatCode="_-[$₦-470]* #,##0.00_-;\-[$₦-470]* #,##0.00_-;_-[$₦-470]* &quot;-&quot;??_-;_-@_-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</dxfs>
  <tableStyles count="0" defaultTableStyle="TableStyleMedium2" defaultPivotStyle="PivotStyleMedium9"/>
  <colors>
    <mruColors>
      <color rgb="FF7A7A20"/>
      <color rgb="FF69691C"/>
      <color rgb="FF5C5C1F"/>
      <color rgb="FFF2F229"/>
      <color rgb="FFE3E34D"/>
      <color rgb="FFCFCF44"/>
      <color rgb="FF73B346"/>
      <color rgb="FF689945"/>
      <color rgb="FF168A4A"/>
      <color rgb="FF524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X.xlsx]Dashboard!PivotTable1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Dashboard!$D$43:$D$48</c:f>
              <c:strCache>
                <c:ptCount val="5"/>
                <c:pt idx="0">
                  <c:v>(blank)</c:v>
                </c:pt>
                <c:pt idx="1">
                  <c:v>In Stock</c:v>
                </c:pt>
                <c:pt idx="2">
                  <c:v>Adjustments (+)</c:v>
                </c:pt>
                <c:pt idx="3">
                  <c:v>0</c:v>
                </c:pt>
                <c:pt idx="4">
                  <c:v>1</c:v>
                </c:pt>
              </c:strCache>
            </c:strRef>
          </c:cat>
          <c:val>
            <c:numRef>
              <c:f>Dashboard!$E$43:$E$48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21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7-4EEE-A4D1-F8DF769F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876423"/>
        <c:axId val="455997959"/>
      </c:barChart>
      <c:valAx>
        <c:axId val="45599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6423"/>
        <c:crosses val="autoZero"/>
        <c:crossBetween val="between"/>
      </c:valAx>
      <c:catAx>
        <c:axId val="154876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97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X.xlsx]Dashboard!PivotTable5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Dashboard!$B$9:$B$26</c:f>
              <c:strCache>
                <c:ptCount val="17"/>
                <c:pt idx="0">
                  <c:v>17/06/2026</c:v>
                </c:pt>
                <c:pt idx="1">
                  <c:v>18/06/2026</c:v>
                </c:pt>
                <c:pt idx="2">
                  <c:v>19/06/2026</c:v>
                </c:pt>
                <c:pt idx="3">
                  <c:v>20/06/2026</c:v>
                </c:pt>
                <c:pt idx="4">
                  <c:v>21/06/2026</c:v>
                </c:pt>
                <c:pt idx="5">
                  <c:v>22/06/2026</c:v>
                </c:pt>
                <c:pt idx="6">
                  <c:v>23/06/2026</c:v>
                </c:pt>
                <c:pt idx="7">
                  <c:v>24/06/2026</c:v>
                </c:pt>
                <c:pt idx="8">
                  <c:v>25/06/2026</c:v>
                </c:pt>
                <c:pt idx="9">
                  <c:v>26/06/2026</c:v>
                </c:pt>
                <c:pt idx="10">
                  <c:v>27/06/2026</c:v>
                </c:pt>
                <c:pt idx="11">
                  <c:v>28/06/2026</c:v>
                </c:pt>
                <c:pt idx="12">
                  <c:v>29/06/2026</c:v>
                </c:pt>
                <c:pt idx="13">
                  <c:v>30/06/2026</c:v>
                </c:pt>
                <c:pt idx="14">
                  <c:v>01/07/2026</c:v>
                </c:pt>
                <c:pt idx="15">
                  <c:v>02/07/2026</c:v>
                </c:pt>
                <c:pt idx="16">
                  <c:v>(blank)</c:v>
                </c:pt>
              </c:strCache>
            </c:strRef>
          </c:cat>
          <c:val>
            <c:numRef>
              <c:f>Dashboard!$C$9:$C$26</c:f>
              <c:numCache>
                <c:formatCode>General</c:formatCode>
                <c:ptCount val="17"/>
                <c:pt idx="0">
                  <c:v>37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55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E-45C7-9391-9435D89C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043143"/>
        <c:axId val="1438049287"/>
      </c:lineChart>
      <c:catAx>
        <c:axId val="143804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049287"/>
        <c:crosses val="autoZero"/>
        <c:auto val="1"/>
        <c:lblAlgn val="ctr"/>
        <c:lblOffset val="100"/>
        <c:noMultiLvlLbl val="0"/>
      </c:catAx>
      <c:valAx>
        <c:axId val="143804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04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7</xdr:row>
      <xdr:rowOff>85725</xdr:rowOff>
    </xdr:from>
    <xdr:to>
      <xdr:col>13</xdr:col>
      <xdr:colOff>47625</xdr:colOff>
      <xdr:row>9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4C92E3-E2E8-4588-9A19-657495462C7C}"/>
            </a:ext>
            <a:ext uri="{147F2762-F138-4A5C-976F-8EAC2B608ADB}">
              <a16:predDERef xmlns:a16="http://schemas.microsoft.com/office/drawing/2014/main" pred="{E0447A55-F158-83F3-6DBA-35DF3B1A0724}"/>
            </a:ext>
          </a:extLst>
        </xdr:cNvPr>
        <xdr:cNvSpPr txBox="1"/>
      </xdr:nvSpPr>
      <xdr:spPr>
        <a:xfrm>
          <a:off x="8315325" y="1647825"/>
          <a:ext cx="10191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Potential Revenue</a:t>
          </a:r>
        </a:p>
      </xdr:txBody>
    </xdr:sp>
    <xdr:clientData/>
  </xdr:twoCellAnchor>
  <xdr:twoCellAnchor>
    <xdr:from>
      <xdr:col>2</xdr:col>
      <xdr:colOff>9525</xdr:colOff>
      <xdr:row>30</xdr:row>
      <xdr:rowOff>152400</xdr:rowOff>
    </xdr:from>
    <xdr:to>
      <xdr:col>5</xdr:col>
      <xdr:colOff>847725</xdr:colOff>
      <xdr:row>38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BA60C-0AC3-0C64-6F5B-7768BBB048EF}"/>
            </a:ext>
            <a:ext uri="{147F2762-F138-4A5C-976F-8EAC2B608ADB}">
              <a16:predDERef xmlns:a16="http://schemas.microsoft.com/office/drawing/2014/main" pred="{924C92E3-E2E8-4588-9A19-657495462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9</xdr:row>
      <xdr:rowOff>38100</xdr:rowOff>
    </xdr:from>
    <xdr:to>
      <xdr:col>8</xdr:col>
      <xdr:colOff>1057275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38595-87DC-FE92-CDC2-C3E5F5CA07DD}"/>
            </a:ext>
            <a:ext uri="{147F2762-F138-4A5C-976F-8EAC2B608ADB}">
              <a16:predDERef xmlns:a16="http://schemas.microsoft.com/office/drawing/2014/main" pred="{46DBA60C-0AC3-0C64-6F5B-7768BBB04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766979513886" createdVersion="8" refreshedVersion="8" minRefreshableVersion="3" recordCount="22" xr:uid="{CB667E0B-57C8-4FFE-B4D3-7BB644C99B99}">
  <cacheSource type="worksheet">
    <worksheetSource name="Stock_Out_Log"/>
  </cacheSource>
  <cacheFields count="18">
    <cacheField name="Date" numFmtId="14">
      <sharedItems containsNonDate="0" containsDate="1" containsString="0" containsBlank="1" minDate="2026-05-07T00:00:00" maxDate="2026-07-03T00:00:00" count="18"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m/>
        <d v="2026-05-07T00:00:00" u="1"/>
      </sharedItems>
    </cacheField>
    <cacheField name="Transaction ID" numFmtId="0">
      <sharedItems/>
    </cacheField>
    <cacheField name="SKU" numFmtId="0">
      <sharedItems/>
    </cacheField>
    <cacheField name="Parent SKU" numFmtId="0">
      <sharedItems/>
    </cacheField>
    <cacheField name="Product Name" numFmtId="0">
      <sharedItems/>
    </cacheField>
    <cacheField name="Category" numFmtId="0">
      <sharedItems count="7">
        <s v="Beverage"/>
        <s v="Stationary"/>
        <s v="Pasteries"/>
        <s v="Sanitary"/>
        <s v="Household"/>
        <s v="Toiletry"/>
        <s v="Unknown SKU" u="1"/>
      </sharedItems>
    </cacheField>
    <cacheField name="Quantity" numFmtId="0">
      <sharedItems containsSemiMixedTypes="0" containsString="0" containsNumber="1" containsInteger="1" minValue="1" maxValue="55"/>
    </cacheField>
    <cacheField name="Base Quantity" numFmtId="0">
      <sharedItems containsSemiMixedTypes="0" containsString="0" containsNumber="1" containsInteger="1" minValue="1" maxValue="55"/>
    </cacheField>
    <cacheField name="Unit Price" numFmtId="43">
      <sharedItems containsSemiMixedTypes="0" containsString="0" containsNumber="1" containsInteger="1" minValue="750" maxValue="150000"/>
    </cacheField>
    <cacheField name="Total Revenue" numFmtId="43">
      <sharedItems containsSemiMixedTypes="0" containsString="0" containsNumber="1" containsInteger="1" minValue="750" maxValue="324500"/>
    </cacheField>
    <cacheField name="Customer " numFmtId="0">
      <sharedItems containsNonDate="0" containsString="0" containsBlank="1"/>
    </cacheField>
    <cacheField name="Cashier" numFmtId="0">
      <sharedItems/>
    </cacheField>
    <cacheField name="POS" numFmtId="43">
      <sharedItems containsString="0" containsBlank="1" containsNumber="1" containsInteger="1" minValue="4000" maxValue="63000"/>
    </cacheField>
    <cacheField name="Transfer" numFmtId="43">
      <sharedItems containsString="0" containsBlank="1" containsNumber="1" containsInteger="1" minValue="5000" maxValue="150000"/>
    </cacheField>
    <cacheField name="Cash" numFmtId="43">
      <sharedItems containsString="0" containsBlank="1" containsNumber="1" containsInteger="1" minValue="750" maxValue="32000"/>
    </cacheField>
    <cacheField name="Total Paid " numFmtId="43">
      <sharedItems containsSemiMixedTypes="0" containsString="0" containsNumber="1" containsInteger="1" minValue="750" maxValue="150000"/>
    </cacheField>
    <cacheField name="Outstanding" numFmtId="43">
      <sharedItems containsSemiMixedTypes="0" containsString="0" containsNumber="1" containsInteger="1" minValue="-10" maxValue="314500"/>
    </cacheField>
    <cacheField name="Net Profit" numFmtId="43">
      <sharedItems containsSemiMixedTypes="0" containsString="0" containsNumber="1" containsInteger="1" minValue="750" maxValue="32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766979513886" createdVersion="8" refreshedVersion="8" minRefreshableVersion="3" recordCount="22" xr:uid="{563DBC55-CD56-449E-9029-E396FDE1D641}">
  <cacheSource type="worksheet">
    <worksheetSource name="Product_Master"/>
  </cacheSource>
  <cacheFields count="20">
    <cacheField name="S/N" numFmtId="0">
      <sharedItems containsSemiMixedTypes="0" containsString="0" containsNumber="1" containsInteger="1" minValue="1" maxValue="22"/>
    </cacheField>
    <cacheField name="SKU" numFmtId="0">
      <sharedItems/>
    </cacheField>
    <cacheField name="Parent SKU" numFmtId="0">
      <sharedItems/>
    </cacheField>
    <cacheField name="Product Name" numFmtId="0">
      <sharedItems count="22">
        <s v="P1"/>
        <s v="P1 - P6"/>
        <s v="P1 - P4"/>
        <s v="P2"/>
        <s v="P3"/>
        <s v="P4"/>
        <s v="P5"/>
        <s v="P6"/>
        <s v="P7"/>
        <s v="P8"/>
        <s v="P9"/>
        <s v="P10"/>
        <s v="P11"/>
        <s v="P12"/>
        <s v="P13"/>
        <s v="P14"/>
        <s v="P15"/>
        <s v="P16"/>
        <s v="P17"/>
        <s v="P18"/>
        <s v="P19"/>
        <s v="P20"/>
      </sharedItems>
    </cacheField>
    <cacheField name="Category" numFmtId="0">
      <sharedItems/>
    </cacheField>
    <cacheField name="Pack Quantity" numFmtId="0">
      <sharedItems containsSemiMixedTypes="0" containsString="0" containsNumber="1" containsInteger="1" minValue="1" maxValue="20"/>
    </cacheField>
    <cacheField name="Unit Cost" numFmtId="43">
      <sharedItems containsSemiMixedTypes="0" containsString="0" containsNumber="1" containsInteger="1" minValue="260" maxValue="100000"/>
    </cacheField>
    <cacheField name="Unit Price" numFmtId="43">
      <sharedItems containsSemiMixedTypes="0" containsString="0" containsNumber="1" containsInteger="1" minValue="500" maxValue="150000"/>
    </cacheField>
    <cacheField name="Initial Stock" numFmtId="0">
      <sharedItems containsSemiMixedTypes="0" containsString="0" containsNumber="1" containsInteger="1" minValue="0" maxValue="50"/>
    </cacheField>
    <cacheField name="Total Received" numFmtId="0">
      <sharedItems containsSemiMixedTypes="0" containsString="0" containsNumber="1" containsInteger="1" minValue="0" maxValue="90"/>
    </cacheField>
    <cacheField name="Total Sold" numFmtId="0">
      <sharedItems containsSemiMixedTypes="0" containsString="0" containsNumber="1" containsInteger="1" minValue="0" maxValue="62"/>
    </cacheField>
    <cacheField name="Adjustments (+)" numFmtId="0">
      <sharedItems containsSemiMixedTypes="0" containsString="0" containsNumber="1" containsInteger="1" minValue="0" maxValue="1"/>
    </cacheField>
    <cacheField name="Adjustments (-)" numFmtId="0">
      <sharedItems containsSemiMixedTypes="0" containsString="0" containsNumber="1" containsInteger="1" minValue="0" maxValue="3"/>
    </cacheField>
    <cacheField name="On Hand" numFmtId="0">
      <sharedItems containsSemiMixedTypes="0" containsString="0" containsNumber="1" containsInteger="1" minValue="0" maxValue="140"/>
    </cacheField>
    <cacheField name="Reorder Point" numFmtId="0">
      <sharedItems containsSemiMixedTypes="0" containsString="0" containsNumber="1" containsInteger="1" minValue="0" maxValue="38"/>
    </cacheField>
    <cacheField name="Reorder Status" numFmtId="0">
      <sharedItems count="5">
        <s v="In Stock"/>
        <s v="Out of Stock"/>
        <s v="Low Stock"/>
        <s v="OK" u="1"/>
        <s v="Restock" u="1"/>
      </sharedItems>
    </cacheField>
    <cacheField name="Margin" numFmtId="10">
      <sharedItems containsSemiMixedTypes="0" containsString="0" containsNumber="1" minValue="0.15714285714285714" maxValue="0.48"/>
    </cacheField>
    <cacheField name="Profit" numFmtId="0">
      <sharedItems containsSemiMixedTypes="0" containsString="0" containsNumber="1" containsInteger="1" minValue="240" maxValue="50000"/>
    </cacheField>
    <cacheField name="Expiration Date" numFmtId="0">
      <sharedItems containsNonDate="0" containsDate="1" containsString="0" containsBlank="1" minDate="2026-05-04T00:00:00" maxDate="2030-08-05T00:00:00"/>
    </cacheField>
    <cacheField name="Inventory Value" numFmtId="164">
      <sharedItems containsSemiMixedTypes="0" containsString="0" containsNumber="1" containsInteger="1" minValue="0" maxValue="9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766979513886" createdVersion="8" refreshedVersion="8" minRefreshableVersion="3" recordCount="30" xr:uid="{117DFA36-B2E5-493E-B87B-810C9EFD156E}">
  <cacheSource type="worksheet">
    <worksheetSource ref="B1:Q1048576" sheet="Product_Master"/>
  </cacheSource>
  <cacheFields count="16">
    <cacheField name="Field1" caption="Field1" numFmtId="0">
      <sharedItems containsBlank="1" containsMixedTypes="1" containsNumber="1" containsInteger="1" minValue="1" maxValue="22"/>
    </cacheField>
    <cacheField name="Field2" caption="Field2" numFmtId="0">
      <sharedItems containsBlank="1"/>
    </cacheField>
    <cacheField name="Field3" caption="Field3" numFmtId="0">
      <sharedItems containsBlank="1"/>
    </cacheField>
    <cacheField name="Field4" caption="Field4" numFmtId="0">
      <sharedItems containsBlank="1"/>
    </cacheField>
    <cacheField name="Field5" caption="Field5" numFmtId="0">
      <sharedItems containsBlank="1"/>
    </cacheField>
    <cacheField name="Field6" caption="Field6" numFmtId="0">
      <sharedItems containsBlank="1" containsMixedTypes="1" containsNumber="1" containsInteger="1" minValue="1" maxValue="20"/>
    </cacheField>
    <cacheField name="Field7" caption="Field7" numFmtId="43">
      <sharedItems containsBlank="1" containsMixedTypes="1" containsNumber="1" containsInteger="1" minValue="260" maxValue="100000"/>
    </cacheField>
    <cacheField name="Field8" caption="Field8" numFmtId="43">
      <sharedItems containsBlank="1" containsMixedTypes="1" containsNumber="1" containsInteger="1" minValue="500" maxValue="150000"/>
    </cacheField>
    <cacheField name="Find product" numFmtId="0">
      <sharedItems containsBlank="1" containsMixedTypes="1" containsNumber="1" containsInteger="1" minValue="0" maxValue="50"/>
    </cacheField>
    <cacheField name="Quantity on Hand" numFmtId="0">
      <sharedItems containsBlank="1" containsMixedTypes="1" containsNumber="1" containsInteger="1" minValue="0" maxValue="90"/>
    </cacheField>
    <cacheField name="Field11" caption="Field11" numFmtId="0">
      <sharedItems containsBlank="1" containsMixedTypes="1" containsNumber="1" containsInteger="1" minValue="0" maxValue="62"/>
    </cacheField>
    <cacheField name="Reorder Status" numFmtId="0">
      <sharedItems containsBlank="1" containsMixedTypes="1" containsNumber="1" containsInteger="1" minValue="0" maxValue="1" count="7">
        <s v="In Stock"/>
        <m/>
        <s v="Adjustments (+)"/>
        <n v="0"/>
        <n v="1"/>
        <s v="OK" u="1"/>
        <s v="Restock" u="1"/>
      </sharedItems>
    </cacheField>
    <cacheField name="Field13" caption="Field13" numFmtId="0">
      <sharedItems containsBlank="1" containsMixedTypes="1" containsNumber="1" containsInteger="1" minValue="0" maxValue="3"/>
    </cacheField>
    <cacheField name="Field14" caption="Field14" numFmtId="0">
      <sharedItems containsBlank="1" containsMixedTypes="1" containsNumber="1" containsInteger="1" minValue="0" maxValue="140"/>
    </cacheField>
    <cacheField name="Field15" caption="Field15" numFmtId="0">
      <sharedItems containsBlank="1" containsMixedTypes="1" containsNumber="1" containsInteger="1" minValue="0" maxValue="38"/>
    </cacheField>
    <cacheField name="Field16" caption="Field16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S00001"/>
    <s v="SKU-001"/>
    <s v="SKU-001"/>
    <s v="P1"/>
    <x v="0"/>
    <n v="9"/>
    <n v="9"/>
    <n v="3000"/>
    <n v="27000"/>
    <m/>
    <s v="John"/>
    <m/>
    <n v="13000"/>
    <m/>
    <n v="13000"/>
    <n v="14000"/>
    <n v="27000"/>
  </r>
  <r>
    <x v="0"/>
    <s v="S00002"/>
    <s v="SKU-001-P6"/>
    <s v="SKU-001"/>
    <s v="P1 - P6"/>
    <x v="0"/>
    <n v="2"/>
    <n v="12"/>
    <n v="15000"/>
    <n v="30000"/>
    <m/>
    <s v="John"/>
    <n v="15000"/>
    <m/>
    <n v="15000"/>
    <n v="30000"/>
    <n v="0"/>
    <n v="30000"/>
  </r>
  <r>
    <x v="0"/>
    <s v="S00003"/>
    <s v="SKU-002"/>
    <s v="SKU-002"/>
    <s v="P2"/>
    <x v="1"/>
    <n v="13"/>
    <n v="13"/>
    <n v="1900"/>
    <n v="24700"/>
    <m/>
    <s v="John"/>
    <m/>
    <n v="24710"/>
    <m/>
    <n v="24710"/>
    <n v="-10"/>
    <n v="24700"/>
  </r>
  <r>
    <x v="0"/>
    <s v="S00004"/>
    <s v="SKU-006"/>
    <s v="SKU-006"/>
    <s v="P6"/>
    <x v="2"/>
    <n v="9"/>
    <n v="9"/>
    <n v="7000"/>
    <n v="63000"/>
    <m/>
    <s v="John"/>
    <n v="63000"/>
    <m/>
    <m/>
    <n v="63000"/>
    <n v="0"/>
    <n v="63000"/>
  </r>
  <r>
    <x v="0"/>
    <s v="S00005"/>
    <s v="SKU-004"/>
    <s v="SKU-004"/>
    <s v="P4"/>
    <x v="3"/>
    <n v="3"/>
    <n v="3"/>
    <n v="5500"/>
    <n v="16500"/>
    <m/>
    <s v="John"/>
    <m/>
    <m/>
    <n v="16500"/>
    <n v="16500"/>
    <n v="0"/>
    <n v="16500"/>
  </r>
  <r>
    <x v="0"/>
    <s v="S00006"/>
    <s v="SKU-019-20"/>
    <s v="SKU-019"/>
    <s v="P20"/>
    <x v="4"/>
    <n v="1"/>
    <n v="20"/>
    <n v="150000"/>
    <n v="150000"/>
    <m/>
    <s v="John"/>
    <m/>
    <n v="150000"/>
    <m/>
    <n v="150000"/>
    <n v="0"/>
    <n v="150000"/>
  </r>
  <r>
    <x v="1"/>
    <s v="S00007"/>
    <s v="SKU-004"/>
    <s v="SKU-004"/>
    <s v="P4"/>
    <x v="3"/>
    <n v="5"/>
    <n v="5"/>
    <n v="5500"/>
    <n v="27500"/>
    <m/>
    <s v="John"/>
    <m/>
    <n v="27500"/>
    <m/>
    <n v="27500"/>
    <n v="0"/>
    <n v="27500"/>
  </r>
  <r>
    <x v="2"/>
    <s v="S00008"/>
    <s v="SKU-001"/>
    <s v="SKU-001"/>
    <s v="P1"/>
    <x v="0"/>
    <n v="1"/>
    <n v="1"/>
    <n v="3000"/>
    <n v="3000"/>
    <m/>
    <s v="John"/>
    <m/>
    <m/>
    <n v="3000"/>
    <n v="3000"/>
    <n v="0"/>
    <n v="3000"/>
  </r>
  <r>
    <x v="3"/>
    <s v="S00009"/>
    <s v="SKU-003"/>
    <s v="SKU-003"/>
    <s v="P3"/>
    <x v="4"/>
    <n v="5"/>
    <n v="5"/>
    <n v="750"/>
    <n v="3750"/>
    <m/>
    <s v="John"/>
    <m/>
    <m/>
    <n v="3750"/>
    <n v="3750"/>
    <n v="0"/>
    <n v="3750"/>
  </r>
  <r>
    <x v="4"/>
    <s v="S00010"/>
    <s v="SKU-018"/>
    <s v="SKU-018"/>
    <s v="P18"/>
    <x v="5"/>
    <n v="1"/>
    <n v="1"/>
    <n v="8100"/>
    <n v="8100"/>
    <m/>
    <s v="John"/>
    <n v="8100"/>
    <m/>
    <m/>
    <n v="8100"/>
    <n v="0"/>
    <n v="8100"/>
  </r>
  <r>
    <x v="5"/>
    <s v="S00011"/>
    <s v="SKU-013"/>
    <s v="SKU-013"/>
    <s v="P13"/>
    <x v="0"/>
    <n v="6"/>
    <n v="6"/>
    <n v="1000"/>
    <n v="6000"/>
    <m/>
    <s v="John"/>
    <n v="6000"/>
    <m/>
    <m/>
    <n v="6000"/>
    <n v="0"/>
    <n v="6000"/>
  </r>
  <r>
    <x v="6"/>
    <s v="S00012"/>
    <s v="SKU-013"/>
    <s v="SKU-013"/>
    <s v="P13"/>
    <x v="0"/>
    <n v="4"/>
    <n v="4"/>
    <n v="1000"/>
    <n v="4000"/>
    <m/>
    <s v="John"/>
    <n v="4000"/>
    <m/>
    <m/>
    <n v="4000"/>
    <n v="0"/>
    <n v="4000"/>
  </r>
  <r>
    <x v="7"/>
    <s v="S00013"/>
    <s v="SKU-004"/>
    <s v="SKU-004"/>
    <s v="P4"/>
    <x v="3"/>
    <n v="2"/>
    <n v="2"/>
    <n v="5500"/>
    <n v="11000"/>
    <m/>
    <s v="John"/>
    <m/>
    <n v="5000"/>
    <m/>
    <n v="5000"/>
    <n v="6000"/>
    <n v="11000"/>
  </r>
  <r>
    <x v="8"/>
    <s v="S00014"/>
    <s v="SKU-019"/>
    <s v="SKU-019"/>
    <s v="P19"/>
    <x v="4"/>
    <n v="1"/>
    <n v="1"/>
    <n v="6500"/>
    <n v="6500"/>
    <m/>
    <s v="John"/>
    <m/>
    <n v="6500"/>
    <m/>
    <n v="6500"/>
    <n v="0"/>
    <n v="6500"/>
  </r>
  <r>
    <x v="9"/>
    <s v="S00015"/>
    <s v="SKU-001"/>
    <s v="SKU-001"/>
    <s v="P1"/>
    <x v="0"/>
    <n v="2"/>
    <n v="2"/>
    <n v="3000"/>
    <n v="6000"/>
    <m/>
    <s v="John"/>
    <m/>
    <m/>
    <n v="6000"/>
    <n v="6000"/>
    <n v="0"/>
    <n v="6000"/>
  </r>
  <r>
    <x v="10"/>
    <s v="S00016"/>
    <s v="SKU-004"/>
    <s v="SKU-004"/>
    <s v="P4"/>
    <x v="3"/>
    <n v="7"/>
    <n v="7"/>
    <n v="5500"/>
    <n v="38500"/>
    <m/>
    <s v="John"/>
    <m/>
    <n v="20000"/>
    <m/>
    <n v="20000"/>
    <n v="18500"/>
    <n v="38500"/>
  </r>
  <r>
    <x v="11"/>
    <s v="S00017"/>
    <s v="SKU-016"/>
    <s v="SKU-016"/>
    <s v="P16"/>
    <x v="2"/>
    <n v="55"/>
    <n v="55"/>
    <n v="5900"/>
    <n v="324500"/>
    <m/>
    <s v="John"/>
    <n v="10000"/>
    <m/>
    <m/>
    <n v="10000"/>
    <n v="314500"/>
    <n v="324500"/>
  </r>
  <r>
    <x v="12"/>
    <s v="S00018"/>
    <s v="SKU-003"/>
    <s v="SKU-003"/>
    <s v="P3"/>
    <x v="4"/>
    <n v="1"/>
    <n v="1"/>
    <n v="750"/>
    <n v="750"/>
    <m/>
    <s v="John"/>
    <m/>
    <m/>
    <n v="750"/>
    <n v="750"/>
    <n v="0"/>
    <n v="750"/>
  </r>
  <r>
    <x v="13"/>
    <s v="S00019"/>
    <s v="SKU-018"/>
    <s v="SKU-018"/>
    <s v="P18"/>
    <x v="5"/>
    <n v="2"/>
    <n v="2"/>
    <n v="8100"/>
    <n v="16200"/>
    <m/>
    <s v="John"/>
    <m/>
    <n v="16200"/>
    <m/>
    <n v="16200"/>
    <n v="0"/>
    <n v="16200"/>
  </r>
  <r>
    <x v="14"/>
    <s v="S00020"/>
    <s v="SKU-006"/>
    <s v="SKU-006"/>
    <s v="P6"/>
    <x v="2"/>
    <n v="3"/>
    <n v="3"/>
    <n v="7000"/>
    <n v="21000"/>
    <m/>
    <s v="John"/>
    <n v="21000"/>
    <m/>
    <m/>
    <n v="21000"/>
    <n v="0"/>
    <n v="21000"/>
  </r>
  <r>
    <x v="15"/>
    <s v="S00021"/>
    <s v="SKU-005"/>
    <s v="SKU-005"/>
    <s v="P5"/>
    <x v="5"/>
    <n v="1"/>
    <n v="1"/>
    <n v="4500"/>
    <n v="4500"/>
    <m/>
    <s v="John"/>
    <m/>
    <m/>
    <n v="4500"/>
    <n v="4500"/>
    <n v="0"/>
    <n v="4500"/>
  </r>
  <r>
    <x v="16"/>
    <s v="S00022"/>
    <s v="SKU-013"/>
    <s v="SKU-013"/>
    <s v="P13"/>
    <x v="0"/>
    <n v="52"/>
    <n v="52"/>
    <n v="1000"/>
    <n v="52000"/>
    <m/>
    <s v="Sarah"/>
    <n v="20000"/>
    <m/>
    <n v="32000"/>
    <n v="52000"/>
    <n v="0"/>
    <n v="5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s v="SKU-001"/>
    <s v="SKU-001"/>
    <x v="0"/>
    <s v="Beverage"/>
    <n v="1"/>
    <n v="2000"/>
    <n v="3000"/>
    <n v="50"/>
    <n v="10"/>
    <n v="14"/>
    <n v="0"/>
    <n v="3"/>
    <n v="43"/>
    <n v="3"/>
    <x v="0"/>
    <n v="0.33333333333333331"/>
    <n v="1000"/>
    <d v="2029-06-21T00:00:00"/>
    <n v="86000"/>
  </r>
  <r>
    <n v="2"/>
    <s v="SKU-001-P6"/>
    <s v="SKU-001"/>
    <x v="1"/>
    <s v="Beverage"/>
    <n v="6"/>
    <n v="12000"/>
    <n v="15000"/>
    <n v="0"/>
    <n v="0"/>
    <n v="0"/>
    <n v="0"/>
    <n v="0"/>
    <n v="0"/>
    <n v="0"/>
    <x v="0"/>
    <n v="0.2"/>
    <n v="3000"/>
    <m/>
    <n v="0"/>
  </r>
  <r>
    <n v="3"/>
    <s v="SKU-001-P4"/>
    <s v="SKU-001"/>
    <x v="2"/>
    <s v="Beverage"/>
    <n v="4"/>
    <n v="8000"/>
    <n v="11000"/>
    <n v="0"/>
    <n v="0"/>
    <n v="0"/>
    <n v="0"/>
    <n v="0"/>
    <n v="0"/>
    <n v="0"/>
    <x v="0"/>
    <n v="0.27272727272727271"/>
    <n v="3000"/>
    <m/>
    <n v="0"/>
  </r>
  <r>
    <n v="4"/>
    <s v="SKU-002"/>
    <s v="SKU-002"/>
    <x v="3"/>
    <s v="Stationary"/>
    <n v="1"/>
    <n v="1200"/>
    <n v="1900"/>
    <n v="50"/>
    <n v="75"/>
    <n v="13"/>
    <n v="0"/>
    <n v="0"/>
    <n v="112"/>
    <n v="38"/>
    <x v="0"/>
    <n v="0.36842105263157893"/>
    <n v="700"/>
    <d v="2027-05-01T00:00:00"/>
    <n v="134400"/>
  </r>
  <r>
    <n v="5"/>
    <s v="SKU-003"/>
    <s v="SKU-003"/>
    <x v="4"/>
    <s v="Household"/>
    <n v="1"/>
    <n v="500"/>
    <n v="750"/>
    <n v="50"/>
    <n v="24"/>
    <n v="6"/>
    <n v="1"/>
    <n v="0"/>
    <n v="69"/>
    <n v="7"/>
    <x v="0"/>
    <n v="0.33333333333333331"/>
    <n v="250"/>
    <d v="2026-08-02T00:00:00"/>
    <n v="34500"/>
  </r>
  <r>
    <n v="6"/>
    <s v="SKU-004"/>
    <s v="SKU-004"/>
    <x v="5"/>
    <s v="Sanitary"/>
    <n v="1"/>
    <n v="4000"/>
    <n v="5500"/>
    <n v="50"/>
    <n v="48"/>
    <n v="17"/>
    <n v="0"/>
    <n v="0"/>
    <n v="81"/>
    <n v="11"/>
    <x v="0"/>
    <n v="0.27272727272727271"/>
    <n v="1500"/>
    <d v="2026-07-02T00:00:00"/>
    <n v="324000"/>
  </r>
  <r>
    <n v="7"/>
    <s v="SKU-005"/>
    <s v="SKU-005"/>
    <x v="6"/>
    <s v="Toiletry"/>
    <n v="1"/>
    <n v="3500"/>
    <n v="4500"/>
    <n v="50"/>
    <n v="12"/>
    <n v="1"/>
    <n v="0"/>
    <n v="0"/>
    <n v="61"/>
    <n v="7"/>
    <x v="0"/>
    <n v="0.22222222222222221"/>
    <n v="1000"/>
    <d v="2026-06-06T00:00:00"/>
    <n v="213500"/>
  </r>
  <r>
    <n v="8"/>
    <s v="SKU-006"/>
    <s v="SKU-006"/>
    <x v="7"/>
    <s v="Pasteries"/>
    <n v="1"/>
    <n v="5900"/>
    <n v="7000"/>
    <n v="50"/>
    <n v="20"/>
    <n v="12"/>
    <n v="0"/>
    <n v="0"/>
    <n v="58"/>
    <n v="3"/>
    <x v="0"/>
    <n v="0.15714285714285714"/>
    <n v="1100"/>
    <d v="2030-08-04T00:00:00"/>
    <n v="342200"/>
  </r>
  <r>
    <n v="9"/>
    <s v="SKU-007"/>
    <s v="SKU-007"/>
    <x v="8"/>
    <s v="Household"/>
    <n v="1"/>
    <n v="5000"/>
    <n v="6200"/>
    <n v="50"/>
    <n v="90"/>
    <n v="0"/>
    <n v="0"/>
    <n v="0"/>
    <n v="140"/>
    <n v="8"/>
    <x v="0"/>
    <n v="0.19354838709677419"/>
    <n v="1200"/>
    <d v="2027-05-05T00:00:00"/>
    <n v="700000"/>
  </r>
  <r>
    <n v="10"/>
    <s v="SKU-008"/>
    <s v="SKU-008"/>
    <x v="9"/>
    <s v="Stationary"/>
    <n v="1"/>
    <n v="900"/>
    <n v="1200"/>
    <n v="50"/>
    <n v="12"/>
    <n v="0"/>
    <n v="0"/>
    <n v="0"/>
    <n v="62"/>
    <n v="4"/>
    <x v="0"/>
    <n v="0.25"/>
    <n v="300"/>
    <d v="2026-06-18T00:00:00"/>
    <n v="55800"/>
  </r>
  <r>
    <n v="11"/>
    <s v="SKU-009"/>
    <s v="SKU-009"/>
    <x v="10"/>
    <s v="Beverage"/>
    <n v="1"/>
    <n v="540"/>
    <n v="900"/>
    <n v="50"/>
    <n v="48"/>
    <n v="0"/>
    <n v="0"/>
    <n v="0"/>
    <n v="98"/>
    <n v="7"/>
    <x v="0"/>
    <n v="0.4"/>
    <n v="360"/>
    <d v="2026-06-19T00:00:00"/>
    <n v="52920"/>
  </r>
  <r>
    <n v="12"/>
    <s v="SKU-010"/>
    <s v="SKU-010"/>
    <x v="11"/>
    <s v="Sanitary"/>
    <n v="1"/>
    <n v="9700"/>
    <n v="12000"/>
    <n v="50"/>
    <n v="50"/>
    <n v="0"/>
    <n v="0"/>
    <n v="0"/>
    <n v="100"/>
    <n v="6"/>
    <x v="0"/>
    <n v="0.19166666666666668"/>
    <n v="2300"/>
    <d v="2028-03-20T00:00:00"/>
    <n v="970000"/>
  </r>
  <r>
    <n v="13"/>
    <s v="SKU-011"/>
    <s v="SKU-011"/>
    <x v="12"/>
    <s v="Pasteries"/>
    <n v="1"/>
    <n v="2000"/>
    <n v="3800"/>
    <n v="50"/>
    <n v="72"/>
    <n v="0"/>
    <n v="0"/>
    <n v="0"/>
    <n v="122"/>
    <n v="9"/>
    <x v="0"/>
    <n v="0.47368421052631576"/>
    <n v="1800"/>
    <d v="2030-04-11T00:00:00"/>
    <n v="244000"/>
  </r>
  <r>
    <n v="14"/>
    <s v="SKU-012"/>
    <s v="SKU-012"/>
    <x v="13"/>
    <s v="Stationary"/>
    <n v="1"/>
    <n v="4400"/>
    <n v="6000"/>
    <n v="50"/>
    <n v="30"/>
    <n v="0"/>
    <n v="0"/>
    <n v="0"/>
    <n v="80"/>
    <n v="4"/>
    <x v="0"/>
    <n v="0.26666666666666666"/>
    <n v="1600"/>
    <d v="2028-01-12T00:00:00"/>
    <n v="352000"/>
  </r>
  <r>
    <n v="15"/>
    <s v="SKU-013"/>
    <s v="SKU-013"/>
    <x v="14"/>
    <s v="Beverage"/>
    <n v="1"/>
    <n v="650"/>
    <n v="1000"/>
    <n v="50"/>
    <n v="12"/>
    <n v="62"/>
    <n v="0"/>
    <n v="0"/>
    <n v="0"/>
    <n v="13"/>
    <x v="1"/>
    <n v="0.35"/>
    <n v="350"/>
    <d v="2026-07-07T00:00:00"/>
    <n v="0"/>
  </r>
  <r>
    <n v="16"/>
    <s v="SKU-014"/>
    <s v="SKU-014"/>
    <x v="15"/>
    <s v="Toiletry"/>
    <n v="1"/>
    <n v="260"/>
    <n v="500"/>
    <n v="50"/>
    <n v="14"/>
    <n v="0"/>
    <n v="0"/>
    <n v="0"/>
    <n v="64"/>
    <n v="10"/>
    <x v="0"/>
    <n v="0.48"/>
    <n v="240"/>
    <d v="2026-05-04T00:00:00"/>
    <n v="16640"/>
  </r>
  <r>
    <n v="17"/>
    <s v="SKU-015"/>
    <s v="SKU-015"/>
    <x v="16"/>
    <s v="Stationary"/>
    <n v="1"/>
    <n v="600"/>
    <n v="1000"/>
    <n v="50"/>
    <n v="80"/>
    <n v="0"/>
    <n v="0"/>
    <n v="0"/>
    <n v="130"/>
    <n v="8"/>
    <x v="0"/>
    <n v="0.4"/>
    <n v="400"/>
    <d v="2029-04-04T00:00:00"/>
    <n v="78000"/>
  </r>
  <r>
    <n v="18"/>
    <s v="SKU-016"/>
    <s v="SKU-016"/>
    <x v="17"/>
    <s v="Pasteries"/>
    <n v="1"/>
    <n v="4330"/>
    <n v="5900"/>
    <n v="50"/>
    <n v="6"/>
    <n v="55"/>
    <n v="0"/>
    <n v="0"/>
    <n v="1"/>
    <n v="5"/>
    <x v="2"/>
    <n v="0.26610169491525426"/>
    <n v="1570"/>
    <d v="2028-04-04T00:00:00"/>
    <n v="4330"/>
  </r>
  <r>
    <n v="19"/>
    <s v="SKU-017"/>
    <s v="SKU-017"/>
    <x v="18"/>
    <s v="Sanitary"/>
    <n v="1"/>
    <n v="700"/>
    <n v="1300"/>
    <n v="50"/>
    <n v="20"/>
    <n v="0"/>
    <n v="0"/>
    <n v="0"/>
    <n v="70"/>
    <n v="7"/>
    <x v="0"/>
    <n v="0.46153846153846156"/>
    <n v="600"/>
    <d v="2027-04-04T00:00:00"/>
    <n v="49000"/>
  </r>
  <r>
    <n v="20"/>
    <s v="SKU-018"/>
    <s v="SKU-018"/>
    <x v="19"/>
    <s v="Toiletry"/>
    <n v="1"/>
    <n v="6700"/>
    <n v="8100"/>
    <n v="50"/>
    <n v="40"/>
    <n v="3"/>
    <n v="0"/>
    <n v="0"/>
    <n v="87"/>
    <n v="11"/>
    <x v="0"/>
    <n v="0.1728395061728395"/>
    <n v="1400"/>
    <d v="2026-11-09T00:00:00"/>
    <n v="582900"/>
  </r>
  <r>
    <n v="21"/>
    <s v="SKU-019"/>
    <s v="SKU-019"/>
    <x v="20"/>
    <s v="Household"/>
    <n v="1"/>
    <n v="5000"/>
    <n v="6500"/>
    <n v="50"/>
    <n v="10"/>
    <n v="2"/>
    <n v="0"/>
    <n v="0"/>
    <n v="58"/>
    <n v="5"/>
    <x v="0"/>
    <n v="0.23076923076923078"/>
    <n v="1500"/>
    <d v="2026-12-02T00:00:00"/>
    <n v="290000"/>
  </r>
  <r>
    <n v="22"/>
    <s v="SKU-019-20"/>
    <s v="SKU-019"/>
    <x v="21"/>
    <s v="Household"/>
    <n v="20"/>
    <n v="100000"/>
    <n v="150000"/>
    <n v="0"/>
    <n v="0"/>
    <n v="0"/>
    <n v="0"/>
    <n v="0"/>
    <n v="0"/>
    <n v="0"/>
    <x v="0"/>
    <n v="0.33333333333333331"/>
    <n v="50000"/>
    <d v="2028-06-06T00:00:0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m/>
    <s v="INVENTORY"/>
    <m/>
    <m/>
    <m/>
    <m/>
    <m/>
    <m/>
    <s v="P1"/>
    <n v="43"/>
    <m/>
    <x v="0"/>
    <m/>
    <m/>
    <m/>
    <m/>
  </r>
  <r>
    <m/>
    <m/>
    <m/>
    <m/>
    <m/>
    <m/>
    <m/>
    <m/>
    <m/>
    <m/>
    <m/>
    <x v="1"/>
    <m/>
    <m/>
    <m/>
    <m/>
  </r>
  <r>
    <s v="S/N"/>
    <s v="SKU"/>
    <s v="Parent SKU"/>
    <s v="Product Name"/>
    <s v="Category"/>
    <s v="Pack Quantity"/>
    <s v="Unit Cost"/>
    <s v="Unit Price"/>
    <s v="Initial Stock"/>
    <s v="Total Received"/>
    <s v="Total Sold"/>
    <x v="2"/>
    <s v="Adjustments (-)"/>
    <s v="On Hand"/>
    <s v="Reorder Point"/>
    <s v="Reorder Status"/>
  </r>
  <r>
    <n v="1"/>
    <s v="SKU-001"/>
    <s v="SKU-001"/>
    <s v="P1"/>
    <s v="Beverage"/>
    <n v="1"/>
    <n v="2000"/>
    <n v="3000"/>
    <n v="50"/>
    <n v="10"/>
    <n v="14"/>
    <x v="3"/>
    <n v="3"/>
    <n v="43"/>
    <n v="3"/>
    <s v="In Stock"/>
  </r>
  <r>
    <n v="2"/>
    <s v="SKU-001-P6"/>
    <s v="SKU-001"/>
    <s v="P1 - P6"/>
    <s v="Beverage"/>
    <n v="6"/>
    <n v="12000"/>
    <n v="15000"/>
    <n v="0"/>
    <n v="0"/>
    <n v="0"/>
    <x v="3"/>
    <n v="0"/>
    <n v="0"/>
    <n v="0"/>
    <s v="In Stock"/>
  </r>
  <r>
    <n v="3"/>
    <s v="SKU-001-P4"/>
    <s v="SKU-001"/>
    <s v="P1 - P4"/>
    <s v="Beverage"/>
    <n v="4"/>
    <n v="8000"/>
    <n v="11000"/>
    <n v="0"/>
    <n v="0"/>
    <n v="0"/>
    <x v="3"/>
    <n v="0"/>
    <n v="0"/>
    <n v="0"/>
    <s v="In Stock"/>
  </r>
  <r>
    <n v="4"/>
    <s v="SKU-002"/>
    <s v="SKU-002"/>
    <s v="P2"/>
    <s v="Stationary"/>
    <n v="1"/>
    <n v="1200"/>
    <n v="1900"/>
    <n v="50"/>
    <n v="75"/>
    <n v="13"/>
    <x v="3"/>
    <n v="0"/>
    <n v="112"/>
    <n v="38"/>
    <s v="In Stock"/>
  </r>
  <r>
    <n v="5"/>
    <s v="SKU-003"/>
    <s v="SKU-003"/>
    <s v="P3"/>
    <s v="Household"/>
    <n v="1"/>
    <n v="500"/>
    <n v="750"/>
    <n v="50"/>
    <n v="24"/>
    <n v="6"/>
    <x v="4"/>
    <n v="0"/>
    <n v="69"/>
    <n v="7"/>
    <s v="In Stock"/>
  </r>
  <r>
    <n v="6"/>
    <s v="SKU-004"/>
    <s v="SKU-004"/>
    <s v="P4"/>
    <s v="Sanitary"/>
    <n v="1"/>
    <n v="4000"/>
    <n v="5500"/>
    <n v="50"/>
    <n v="48"/>
    <n v="17"/>
    <x v="3"/>
    <n v="0"/>
    <n v="81"/>
    <n v="11"/>
    <s v="In Stock"/>
  </r>
  <r>
    <n v="7"/>
    <s v="SKU-005"/>
    <s v="SKU-005"/>
    <s v="P5"/>
    <s v="Toiletry"/>
    <n v="1"/>
    <n v="3500"/>
    <n v="4500"/>
    <n v="50"/>
    <n v="12"/>
    <n v="1"/>
    <x v="3"/>
    <n v="0"/>
    <n v="61"/>
    <n v="7"/>
    <s v="In Stock"/>
  </r>
  <r>
    <n v="8"/>
    <s v="SKU-006"/>
    <s v="SKU-006"/>
    <s v="P6"/>
    <s v="Pasteries"/>
    <n v="1"/>
    <n v="5900"/>
    <n v="7000"/>
    <n v="50"/>
    <n v="20"/>
    <n v="12"/>
    <x v="3"/>
    <n v="0"/>
    <n v="58"/>
    <n v="3"/>
    <s v="In Stock"/>
  </r>
  <r>
    <n v="9"/>
    <s v="SKU-007"/>
    <s v="SKU-007"/>
    <s v="P7"/>
    <s v="Household"/>
    <n v="1"/>
    <n v="5000"/>
    <n v="6200"/>
    <n v="50"/>
    <n v="90"/>
    <n v="0"/>
    <x v="3"/>
    <n v="0"/>
    <n v="140"/>
    <n v="8"/>
    <s v="In Stock"/>
  </r>
  <r>
    <n v="10"/>
    <s v="SKU-008"/>
    <s v="SKU-008"/>
    <s v="P8"/>
    <s v="Stationary"/>
    <n v="1"/>
    <n v="900"/>
    <n v="1200"/>
    <n v="50"/>
    <n v="12"/>
    <n v="0"/>
    <x v="3"/>
    <n v="0"/>
    <n v="62"/>
    <n v="4"/>
    <s v="In Stock"/>
  </r>
  <r>
    <n v="11"/>
    <s v="SKU-009"/>
    <s v="SKU-009"/>
    <s v="P9"/>
    <s v="Beverage"/>
    <n v="1"/>
    <n v="540"/>
    <n v="900"/>
    <n v="50"/>
    <n v="48"/>
    <n v="0"/>
    <x v="3"/>
    <n v="0"/>
    <n v="98"/>
    <n v="7"/>
    <s v="In Stock"/>
  </r>
  <r>
    <n v="12"/>
    <s v="SKU-010"/>
    <s v="SKU-010"/>
    <s v="P10"/>
    <s v="Sanitary"/>
    <n v="1"/>
    <n v="9700"/>
    <n v="12000"/>
    <n v="50"/>
    <n v="50"/>
    <n v="0"/>
    <x v="3"/>
    <n v="0"/>
    <n v="100"/>
    <n v="6"/>
    <s v="In Stock"/>
  </r>
  <r>
    <n v="13"/>
    <s v="SKU-011"/>
    <s v="SKU-011"/>
    <s v="P11"/>
    <s v="Pasteries"/>
    <n v="1"/>
    <n v="2000"/>
    <n v="3800"/>
    <n v="50"/>
    <n v="72"/>
    <n v="0"/>
    <x v="3"/>
    <n v="0"/>
    <n v="122"/>
    <n v="9"/>
    <s v="In Stock"/>
  </r>
  <r>
    <n v="14"/>
    <s v="SKU-012"/>
    <s v="SKU-012"/>
    <s v="P12"/>
    <s v="Stationary"/>
    <n v="1"/>
    <n v="4400"/>
    <n v="6000"/>
    <n v="50"/>
    <n v="30"/>
    <n v="0"/>
    <x v="3"/>
    <n v="0"/>
    <n v="80"/>
    <n v="4"/>
    <s v="In Stock"/>
  </r>
  <r>
    <n v="15"/>
    <s v="SKU-013"/>
    <s v="SKU-013"/>
    <s v="P13"/>
    <s v="Beverage"/>
    <n v="1"/>
    <n v="650"/>
    <n v="1000"/>
    <n v="50"/>
    <n v="12"/>
    <n v="62"/>
    <x v="3"/>
    <n v="0"/>
    <n v="0"/>
    <n v="13"/>
    <s v="Out of Stock"/>
  </r>
  <r>
    <n v="16"/>
    <s v="SKU-014"/>
    <s v="SKU-014"/>
    <s v="P14"/>
    <s v="Toiletry"/>
    <n v="1"/>
    <n v="260"/>
    <n v="500"/>
    <n v="50"/>
    <n v="14"/>
    <n v="0"/>
    <x v="3"/>
    <n v="0"/>
    <n v="64"/>
    <n v="10"/>
    <s v="In Stock"/>
  </r>
  <r>
    <n v="17"/>
    <s v="SKU-015"/>
    <s v="SKU-015"/>
    <s v="P15"/>
    <s v="Stationary"/>
    <n v="1"/>
    <n v="600"/>
    <n v="1000"/>
    <n v="50"/>
    <n v="80"/>
    <n v="0"/>
    <x v="3"/>
    <n v="0"/>
    <n v="130"/>
    <n v="8"/>
    <s v="In Stock"/>
  </r>
  <r>
    <n v="18"/>
    <s v="SKU-016"/>
    <s v="SKU-016"/>
    <s v="P16"/>
    <s v="Pasteries"/>
    <n v="1"/>
    <n v="4330"/>
    <n v="5900"/>
    <n v="50"/>
    <n v="6"/>
    <n v="55"/>
    <x v="3"/>
    <n v="0"/>
    <n v="1"/>
    <n v="5"/>
    <s v="Low Stock"/>
  </r>
  <r>
    <n v="19"/>
    <s v="SKU-017"/>
    <s v="SKU-017"/>
    <s v="P17"/>
    <s v="Sanitary"/>
    <n v="1"/>
    <n v="700"/>
    <n v="1300"/>
    <n v="50"/>
    <n v="20"/>
    <n v="0"/>
    <x v="3"/>
    <n v="0"/>
    <n v="70"/>
    <n v="7"/>
    <s v="In Stock"/>
  </r>
  <r>
    <n v="20"/>
    <s v="SKU-018"/>
    <s v="SKU-018"/>
    <s v="P18"/>
    <s v="Toiletry"/>
    <n v="1"/>
    <n v="6700"/>
    <n v="8100"/>
    <n v="50"/>
    <n v="40"/>
    <n v="3"/>
    <x v="3"/>
    <n v="0"/>
    <n v="87"/>
    <n v="11"/>
    <s v="In Stock"/>
  </r>
  <r>
    <n v="21"/>
    <s v="SKU-019"/>
    <s v="SKU-019"/>
    <s v="P19"/>
    <s v="Household"/>
    <n v="1"/>
    <n v="5000"/>
    <n v="6500"/>
    <n v="50"/>
    <n v="10"/>
    <n v="2"/>
    <x v="3"/>
    <n v="0"/>
    <n v="58"/>
    <n v="5"/>
    <s v="In Stock"/>
  </r>
  <r>
    <n v="22"/>
    <s v="SKU-019-20"/>
    <s v="SKU-019"/>
    <s v="P20"/>
    <s v="Household"/>
    <n v="20"/>
    <n v="100000"/>
    <n v="150000"/>
    <n v="0"/>
    <n v="0"/>
    <n v="0"/>
    <x v="3"/>
    <n v="0"/>
    <n v="0"/>
    <n v="0"/>
    <s v="In Stock"/>
  </r>
  <r>
    <m/>
    <m/>
    <m/>
    <m/>
    <m/>
    <m/>
    <m/>
    <m/>
    <m/>
    <m/>
    <m/>
    <x v="1"/>
    <m/>
    <m/>
    <m/>
    <m/>
  </r>
  <r>
    <m/>
    <m/>
    <m/>
    <m/>
    <m/>
    <m/>
    <m/>
    <m/>
    <m/>
    <m/>
    <m/>
    <x v="1"/>
    <m/>
    <m/>
    <m/>
    <m/>
  </r>
  <r>
    <m/>
    <m/>
    <m/>
    <m/>
    <m/>
    <m/>
    <m/>
    <m/>
    <m/>
    <m/>
    <m/>
    <x v="1"/>
    <m/>
    <m/>
    <m/>
    <m/>
  </r>
  <r>
    <m/>
    <m/>
    <m/>
    <m/>
    <m/>
    <m/>
    <m/>
    <m/>
    <m/>
    <m/>
    <m/>
    <x v="1"/>
    <m/>
    <m/>
    <m/>
    <m/>
  </r>
  <r>
    <m/>
    <m/>
    <m/>
    <m/>
    <m/>
    <m/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DFFDE-65AA-4E3B-8E5B-F6525444FF61}" name="PivotTable3" cacheId="15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O10" firstHeaderRow="0" firstDataRow="0" firstDataCol="0"/>
  <pivotFields count="18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m="1" x="6"/>
        <item x="1"/>
        <item x="2"/>
        <item x="3"/>
        <item x="4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</pivotFields>
  <rowFields count="1">
    <field x="5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2674E-04E9-4678-90F7-268958402DAF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42:E48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8">
        <item m="1" x="5"/>
        <item m="1" x="6"/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order Status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A7DD0-0928-435C-B961-A8129C115AFC}" name="PivotTable5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8:C26" firstHeaderRow="1" firstDataRow="1" firstDataCol="1"/>
  <pivotFields count="18">
    <pivotField axis="axisRow" compact="0" numFmtId="14" outline="0" showAll="0">
      <items count="19"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D58EC-1A11-4767-B861-B88AB77C9051}" name="PivotTable4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7:L34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52CE5-A82F-48AB-8C21-5EDEBD9F7FE6}" name="PivotTable2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18:P41" firstHeaderRow="1" firstDataRow="1" firstDataCol="1" rowPageCount="1" colPageCount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23">
        <item x="0"/>
        <item x="3"/>
        <item x="4"/>
        <item x="5"/>
        <item x="6"/>
        <item x="7"/>
        <item x="1"/>
        <item x="2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m="1" x="3"/>
        <item m="1" x="4"/>
        <item x="0"/>
        <item x="1"/>
        <item x="2"/>
        <item t="default"/>
      </items>
    </pivotField>
    <pivotField compact="0" numFmtId="10" outline="0" showAll="0"/>
    <pivotField compact="0" outline="0" showAll="0"/>
    <pivotField compact="0" outline="0" showAll="0"/>
    <pivotField compact="0" numFmtId="164" outline="0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5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16E7B-4D19-4684-B21A-C23C924AB1C6}" name="Product_Master" displayName="Product_Master" ref="B4:U26" totalsRowShown="0" tableBorderDxfId="53">
  <autoFilter ref="B4:U26" xr:uid="{BF016E7B-4D19-4684-B21A-C23C924AB1C6}"/>
  <tableColumns count="20">
    <tableColumn id="16" xr3:uid="{38AE920E-BA08-4595-AE3E-EEB93EE73566}" name="S/N"/>
    <tableColumn id="17" xr3:uid="{886B6363-FD6E-4913-AC7A-6708C2917524}" name="SKU"/>
    <tableColumn id="1" xr3:uid="{4EEC5682-0AF9-4765-B124-491571FF0753}" name="Parent SKU">
      <calculatedColumnFormula>MID(LEFT(Product_Master[[#This Row],[SKU]], 7), FIND("-", Product_Master[[#This Row],[SKU]]) - 3, LEN(Product_Master[[#This Row],[SKU]]))</calculatedColumnFormula>
    </tableColumn>
    <tableColumn id="2" xr3:uid="{54CCB0D4-06F3-4EC3-AD5D-2D5D0FC5B244}" name="Product Name"/>
    <tableColumn id="3" xr3:uid="{C622CF55-81DA-4854-A6AE-3824FC3BBE0A}" name="Category"/>
    <tableColumn id="18" xr3:uid="{E13CFD59-B39D-41A9-9EC2-F8B07938A24C}" name="Pack Quantity"/>
    <tableColumn id="4" xr3:uid="{35447AA2-2EDA-48CE-9294-6F2B8DD68D50}" name="Unit Cost" dataDxfId="52">
      <calculatedColumnFormula>_xlfn.XLOOKUP(D5, Purchase!E:E, Purchase!I:I, 0, 0, -1) *Product_Master[[#This Row],[Pack Quantity]]</calculatedColumnFormula>
    </tableColumn>
    <tableColumn id="5" xr3:uid="{B9459B85-425B-4898-AA43-906C3119881D}" name="Unit Price" dataDxfId="51"/>
    <tableColumn id="6" xr3:uid="{06D66191-6FF4-4C95-A45D-8ADA420DCBAB}" name="Initial Stock"/>
    <tableColumn id="7" xr3:uid="{C4C5862E-FDF6-47E5-8F96-A5A3666D8B15}" name="Total Received" dataDxfId="50">
      <calculatedColumnFormula>SUMIF(Purchase!E:E, C5, Purchase!H:H)</calculatedColumnFormula>
    </tableColumn>
    <tableColumn id="8" xr3:uid="{948D7E08-C4B0-44B1-8FF4-D0C1F7972AED}" name="Total Sold" dataDxfId="49">
      <calculatedColumnFormula>SUMIFS(Sales!H:H, Sales!E:E, Product_Master[[#This Row],[SKU]])</calculatedColumnFormula>
    </tableColumn>
    <tableColumn id="20" xr3:uid="{13088AF4-A6FC-4EEE-AECD-CE8E4A196C6D}" name="Adjustments (+)" dataDxfId="48">
      <calculatedColumnFormula>SUMIFS(Adjustments!C:C, Adjustments!A:A, Product_Master[[#This Row],[SKU]], Adjustments!D:D, "Adjustment - Add")</calculatedColumnFormula>
    </tableColumn>
    <tableColumn id="19" xr3:uid="{07EA49B0-3A93-4C38-B7D6-9E3B0A4D74BB}" name="Adjustments (-)" dataDxfId="47">
      <calculatedColumnFormula array="1">SUM(SUMIFS(Adjustments!C:C, Adjustments!A:A, Product_Master[[#This Row],[SKU]], Adjustments!D:D, {"Scrap","Adjustment - Subtract"}))</calculatedColumnFormula>
    </tableColumn>
    <tableColumn id="9" xr3:uid="{70C682A8-15CF-417E-B180-05DADF3645FC}" name="On Hand" dataDxfId="46">
      <calculatedColumnFormula>J5 + K5 - L5 + Product_Master[[#This Row],[Adjustments (+)]] - Product_Master[[#This Row],[Adjustments (-)]]</calculatedColumnFormula>
    </tableColumn>
    <tableColumn id="10" xr3:uid="{36909195-E81C-4610-BC2A-0C51A3F31F54}" name="Reorder Point"/>
    <tableColumn id="11" xr3:uid="{F34C47C4-D6F4-4717-8E74-10C492AEDB96}" name="Reorder Status" dataDxfId="45">
      <calculatedColumnFormula>IF(G5&gt;1, "In Stock", IF(O5=0, "Out of Stock", IF(O5&lt;=P5, "Low Stock", "In Stock")))</calculatedColumnFormula>
    </tableColumn>
    <tableColumn id="12" xr3:uid="{A6014EBE-40B1-4016-BAAA-3363DA3F4599}" name="Margin" dataDxfId="44">
      <calculatedColumnFormula>IF(OR(ISBLANK(I6), I6=0), "-", (I6 - H6) / I6)</calculatedColumnFormula>
    </tableColumn>
    <tableColumn id="13" xr3:uid="{3A6B1606-74C4-451F-AA1E-7BED11A92C17}" name="Profit" dataDxfId="43">
      <calculatedColumnFormula>IF(OR(ISBLANK(H5), ISBLANK(I5)), "-", I5 - H5)</calculatedColumnFormula>
    </tableColumn>
    <tableColumn id="14" xr3:uid="{97D7C4FA-3E82-42FD-8800-80A9B486D0B7}" name="Expiration Date" dataDxfId="42"/>
    <tableColumn id="15" xr3:uid="{C23F361C-FEED-49A8-8B7B-4C8515CE8A62}" name="Inventory Value" dataDxfId="41">
      <calculatedColumnFormula>Product_Master[[#This Row],[Unit Cost]]*Product_Master[[#This Row],[On Hand]]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8D38E3-BA92-41A2-9668-C0214839D8F9}" name="Table8" displayName="Table8" ref="B2:N23" totalsRowShown="0">
  <autoFilter ref="B2:N23" xr:uid="{8B8D38E3-BA92-41A2-9668-C0214839D8F9}"/>
  <tableColumns count="13">
    <tableColumn id="1" xr3:uid="{E928257C-A2E2-4246-A2B3-3C4E5A8B2807}" name="Date" dataDxfId="40"/>
    <tableColumn id="2" xr3:uid="{B2953FD9-DF32-4CFE-A26F-D75F13F4061E}" name="Transaction ID" dataDxfId="39"/>
    <tableColumn id="3" xr3:uid="{317AFAE9-EDCF-4E93-8BAD-A814A0216027}" name="Supplier"/>
    <tableColumn id="4" xr3:uid="{6C5D94B8-D960-4740-A67F-03F60FC884DF}" name="SKU"/>
    <tableColumn id="5" xr3:uid="{80CA1236-BDBF-4102-98F0-9F4D5279C0E2}" name="Product Name" dataDxfId="38">
      <calculatedColumnFormula>_xlfn.XLOOKUP(E3, Product_Master[SKU], Product_Master[Product Name], "Unknown SKU")</calculatedColumnFormula>
    </tableColumn>
    <tableColumn id="6" xr3:uid="{3CFC6E93-2C52-4E6E-B868-373F1260F824}" name="Category" dataDxfId="37">
      <calculatedColumnFormula>_xlfn.XLOOKUP(E3, Product_Master[SKU], Product_Master[Category], "Unknown SKU")</calculatedColumnFormula>
    </tableColumn>
    <tableColumn id="7" xr3:uid="{83C579CE-4205-406B-B60D-ADD1C002C4C5}" name="Quantity"/>
    <tableColumn id="9" xr3:uid="{85D4C644-B768-4865-BCE4-890EC291AF96}" name="Unit Cost" dataDxfId="36"/>
    <tableColumn id="10" xr3:uid="{DD20CD74-39E1-4049-A790-E6B135222243}" name="Total purcahse" dataDxfId="35">
      <calculatedColumnFormula>Table8[[#This Row],[Unit Cost]]*Table8[[#This Row],[Quantity]]</calculatedColumnFormula>
    </tableColumn>
    <tableColumn id="11" xr3:uid="{2C33391E-11D7-406B-8F55-761D96534B58}" name="Paid" dataDxfId="34"/>
    <tableColumn id="12" xr3:uid="{A868D1A4-6126-4B23-83AE-7F8152BA5FBF}" name="Balance to Pay" dataDxfId="33">
      <calculatedColumnFormula>Table8[[#This Row],[Total purcahse]]-Table8[[#This Row],[Paid]]</calculatedColumnFormula>
    </tableColumn>
    <tableColumn id="13" xr3:uid="{CB9E5BA1-AAD5-4D77-ADE1-156986EC2688}" name="Due Date" dataDxfId="32"/>
    <tableColumn id="8" xr3:uid="{5073BBC9-0836-42E3-8581-2FAB6A68F0EA}" name="Recieved by" dataDxfId="3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F84E81-0A3A-436E-8E40-273FC917077C}" name="Stock_Out_Log" displayName="Stock_Out_Log" ref="B2:S24" totalsRowShown="0" headerRowDxfId="30">
  <autoFilter ref="B2:S24" xr:uid="{D4F84E81-0A3A-436E-8E40-273FC917077C}"/>
  <tableColumns count="18">
    <tableColumn id="1" xr3:uid="{58FD53EB-4A53-40DF-9453-3D172A628359}" name="Date" dataDxfId="29"/>
    <tableColumn id="2" xr3:uid="{B3D3F39F-F996-40DF-813F-DE24B6CFE248}" name="Transaction ID"/>
    <tableColumn id="3" xr3:uid="{9EA24F63-F534-4645-A9BF-67F31C31BA34}" name="SKU"/>
    <tableColumn id="18" xr3:uid="{43212D2A-AA17-4F32-BDC6-A2AED8F862C5}" name="Parent SKU" dataDxfId="28">
      <calculatedColumnFormula>_xlfn.XLOOKUP(D3, Product_Master[SKU], Product_Master[Parent SKU], "Unknown SKU")</calculatedColumnFormula>
    </tableColumn>
    <tableColumn id="4" xr3:uid="{A8176C4D-B5D3-4116-A09B-609FEF62137F}" name="Product Name">
      <calculatedColumnFormula>_xlfn.XLOOKUP(D3, Product_Master[SKU], Product_Master[Product Name], "Unknown SKU")</calculatedColumnFormula>
    </tableColumn>
    <tableColumn id="5" xr3:uid="{C197D756-A6DC-4D81-8664-D0DEAA949B75}" name="Category">
      <calculatedColumnFormula>_xlfn.XLOOKUP(D3, Product_Master[SKU], Product_Master[Category], "Unknown SKU")</calculatedColumnFormula>
    </tableColumn>
    <tableColumn id="6" xr3:uid="{F0368C09-344A-4E0F-AE9E-886C7CF9D68B}" name="Quantity"/>
    <tableColumn id="17" xr3:uid="{31001A36-5DA3-4730-BCFB-C9A43E013589}" name="Base Quantity" dataDxfId="27">
      <calculatedColumnFormula>Stock_Out_Log[[#This Row],[Quantity]] * _xlfn.XLOOKUP(Stock_Out_Log[[#This Row],[SKU]], Product_Master!C:C, Product_Master!G:G, 1)</calculatedColumnFormula>
    </tableColumn>
    <tableColumn id="7" xr3:uid="{9CCC08CC-77AF-4244-B4C0-0169CFC58B4E}" name="Unit Price" dataDxfId="26">
      <calculatedColumnFormula>_xlfn.XLOOKUP(D3, Product_Master[SKU], Product_Master[Unit Price], 0)</calculatedColumnFormula>
    </tableColumn>
    <tableColumn id="8" xr3:uid="{41B96C72-2A9A-4BD4-BAC9-89520967CD4D}" name="Total Revenue" dataDxfId="25">
      <calculatedColumnFormula>H3 * J3</calculatedColumnFormula>
    </tableColumn>
    <tableColumn id="9" xr3:uid="{6F79A661-473A-4DA4-B6C6-979F3F2EE0E8}" name="Customer "/>
    <tableColumn id="10" xr3:uid="{288A6B9F-550A-4D20-B3DF-A9706F94F773}" name="Cashier"/>
    <tableColumn id="11" xr3:uid="{E79661DD-14E0-427D-8FD5-4FB299EE3D7F}" name="POS" dataDxfId="24"/>
    <tableColumn id="12" xr3:uid="{B167BE51-3A94-42AA-A835-ED3CD2B0542F}" name="Transfer" dataDxfId="23"/>
    <tableColumn id="13" xr3:uid="{BB34B18A-C8D5-4245-A9AB-5AF43FD840D9}" name="Cash" dataDxfId="22"/>
    <tableColumn id="14" xr3:uid="{A24AFCE2-42FC-4760-A119-34456F128395}" name="Total Paid " dataDxfId="21">
      <calculatedColumnFormula>Stock_Out_Log[[#This Row],[Cash]]+Stock_Out_Log[[#This Row],[Transfer]]+Stock_Out_Log[[#This Row],[POS]]</calculatedColumnFormula>
    </tableColumn>
    <tableColumn id="15" xr3:uid="{9623EB93-DF73-4263-841F-1BDFB3D7B186}" name="Outstanding" dataDxfId="20">
      <calculatedColumnFormula>Stock_Out_Log[[#This Row],[Total Revenue]]-Stock_Out_Log[[#This Row],[Total Paid ]]</calculatedColumnFormula>
    </tableColumn>
    <tableColumn id="16" xr3:uid="{6531FD42-5B81-4E41-B007-67B4D89DB60F}" name="Net Profit" dataDxfId="19">
      <calculatedColumnFormula>K3 - (H3 * _xlfn.XLOOKUP(D3, Product_Master!B:B, Product_Master!H:H, 0))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AB9236-348F-45FD-92C0-E42B32C6FB51}" name="Table2" displayName="Table2" ref="A2:E6" totalsRowShown="0" headerRowDxfId="14">
  <autoFilter ref="A2:E6" xr:uid="{CFAB9236-348F-45FD-92C0-E42B32C6FB51}"/>
  <tableColumns count="5">
    <tableColumn id="1" xr3:uid="{B965958E-B264-421A-904E-6603AC3AC074}" name="Date" dataDxfId="13"/>
    <tableColumn id="2" xr3:uid="{40374306-F11F-4580-8E87-8AB731149127}" name="Item"/>
    <tableColumn id="3" xr3:uid="{D13D4BA1-0F59-4193-88F6-11EC3534A171}" name="Category"/>
    <tableColumn id="4" xr3:uid="{8ACFA7DB-926F-46C5-95E7-942C8F103891}" name="Payment Type"/>
    <tableColumn id="5" xr3:uid="{2F10E3A6-025D-4E2A-9D35-BDCF5DA7FBB3}" name="Amount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C025CF-C114-424C-A7C3-0DAB74366A82}" name="Table4" displayName="Table4" ref="J4:K17" totalsRowShown="0" headerRowDxfId="12" headerRowBorderDxfId="10" tableBorderDxfId="11" totalsRowBorderDxfId="9">
  <autoFilter ref="J4:K17" xr:uid="{29C025CF-C114-424C-A7C3-0DAB74366A82}"/>
  <tableColumns count="2">
    <tableColumn id="1" xr3:uid="{2AC82814-5EFF-4BD5-ADFE-13D5AB1C61C0}" name="Cash" dataDxfId="8"/>
    <tableColumn id="2" xr3:uid="{C6FCCACB-E532-4716-87DB-4227CBB5E4AB}" name="=Cash Flow Ending Cash" dataDxf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13FBAE-91BC-436C-B159-25BFE7E95065}" name="Table6" displayName="Table6" ref="B2:N9" totalsRowShown="0" headerRowDxfId="6">
  <autoFilter ref="B2:N9" xr:uid="{A313FBAE-91BC-436C-B159-25BFE7E95065}"/>
  <tableColumns count="13">
    <tableColumn id="1" xr3:uid="{407AE665-6BF7-4094-8CB9-BF8F22A22A34}" name="DEPARTMENT/NAME"/>
    <tableColumn id="2" xr3:uid="{8F2866F0-EFCF-4834-8036-BA1EBAAE1B27}" name="POSITION"/>
    <tableColumn id="3" xr3:uid="{1FDC202D-B1EC-4E97-8CFB-EF7E5CB85AD1}" name="BANK DETAILS"/>
    <tableColumn id="4" xr3:uid="{1BE61D8F-00C3-4796-B77A-6C3952C7544C}" name="ARREARS" dataDxfId="5"/>
    <tableColumn id="5" xr3:uid="{BBA05656-9847-4B75-AC36-5BA3A6716E7D}" name="Column1" dataDxfId="4"/>
    <tableColumn id="6" xr3:uid="{7A04D0B4-8EA7-46C4-B310-AC72E4A2445B}" name="SHORTFALLS"/>
    <tableColumn id="7" xr3:uid="{CAC62F24-3149-43F5-8BEC-9073C1F1E27B}" name="LATENESS"/>
    <tableColumn id="8" xr3:uid="{72DD83A5-2147-4DD4-9D07-5491DC9A44F3}" name="ABSENT"/>
    <tableColumn id="9" xr3:uid="{DB626639-15DC-467F-AF38-5386268B0123}" name="IOU"/>
    <tableColumn id="10" xr3:uid="{62523B50-37E3-4DD5-A9DA-53A69524318F}" name="SURCHARGE"/>
    <tableColumn id="11" xr3:uid="{34583D7D-7BF4-4899-A955-D8B948359E22}" name="TAX"/>
    <tableColumn id="12" xr3:uid="{093E8C4E-CFAC-4D34-A61C-BA0C3F9B8A71}" name="GROSS PAY" dataDxfId="3"/>
    <tableColumn id="13" xr3:uid="{EEF29BCB-D9F0-4A68-BBD0-62F2A6B18A65}" name="NET PAY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C04AD9-D497-4A42-AB8A-63A6F772516B}" name="Table5" displayName="Table5" ref="A1:A8" totalsRowShown="0" headerRowDxfId="2" headerRowBorderDxfId="0" tableBorderDxfId="1">
  <autoFilter ref="A1:A8" xr:uid="{A7C04AD9-D497-4A42-AB8A-63A6F772516B}"/>
  <tableColumns count="1">
    <tableColumn id="1" xr3:uid="{23DB7151-00C4-47E1-93F6-732B273AAE0A}" name="Master 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0D32-0F45-466B-ABC4-8B2253A08B03}">
  <dimension ref="A1:Y48"/>
  <sheetViews>
    <sheetView showGridLines="0" tabSelected="1" topLeftCell="A5" workbookViewId="0">
      <selection activeCell="B8" sqref="B8"/>
    </sheetView>
  </sheetViews>
  <sheetFormatPr defaultRowHeight="15"/>
  <cols>
    <col min="1" max="1" width="2.28515625" customWidth="1"/>
    <col min="2" max="2" width="11.42578125" bestFit="1" customWidth="1"/>
    <col min="3" max="3" width="15.42578125" bestFit="1" customWidth="1"/>
    <col min="4" max="4" width="17.28515625" bestFit="1" customWidth="1"/>
    <col min="5" max="5" width="22.28515625" customWidth="1"/>
    <col min="6" max="6" width="17.28515625" customWidth="1"/>
    <col min="7" max="7" width="19.140625" customWidth="1"/>
    <col min="9" max="9" width="16.85546875" bestFit="1" customWidth="1"/>
    <col min="10" max="10" width="12" customWidth="1"/>
    <col min="11" max="11" width="9.5703125" customWidth="1"/>
    <col min="12" max="12" width="8" style="44" customWidth="1"/>
    <col min="13" max="13" width="7.140625" customWidth="1"/>
    <col min="14" max="14" width="11.42578125" bestFit="1" customWidth="1"/>
    <col min="16" max="16" width="16.7109375" bestFit="1" customWidth="1"/>
    <col min="17" max="17" width="7.5703125" bestFit="1" customWidth="1"/>
  </cols>
  <sheetData>
    <row r="1" spans="1:25" ht="29.25" customHeight="1">
      <c r="A1" s="16"/>
      <c r="B1" s="111" t="s">
        <v>0</v>
      </c>
      <c r="C1" s="111"/>
      <c r="D1" s="111"/>
      <c r="E1" s="111"/>
      <c r="F1" s="16"/>
      <c r="G1" s="16"/>
      <c r="H1" s="16"/>
      <c r="I1" s="16"/>
      <c r="J1" s="16"/>
      <c r="N1" s="111" t="s">
        <v>1</v>
      </c>
      <c r="O1" s="111"/>
      <c r="P1" s="111"/>
    </row>
    <row r="3" spans="1:25">
      <c r="B3" s="45"/>
      <c r="C3" s="45"/>
      <c r="D3" s="45"/>
      <c r="E3" s="45"/>
      <c r="F3" s="45"/>
      <c r="G3" s="45"/>
      <c r="H3" s="45"/>
      <c r="I3" s="45"/>
      <c r="J3" s="45"/>
      <c r="K3" s="45"/>
      <c r="L3" s="46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 spans="1:25" ht="18.75" customHeight="1">
      <c r="B4" s="45"/>
      <c r="C4" s="47" t="s">
        <v>2</v>
      </c>
      <c r="D4" s="45"/>
      <c r="E4" s="51"/>
      <c r="F4" s="52" t="s">
        <v>3</v>
      </c>
      <c r="G4" s="45"/>
      <c r="H4" s="51"/>
      <c r="I4" s="45" t="s">
        <v>4</v>
      </c>
      <c r="J4" s="45"/>
      <c r="K4" s="45"/>
      <c r="L4" s="46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spans="1:25">
      <c r="B5" s="45"/>
      <c r="C5" s="47">
        <f>SUM(Product_Master!O:O)</f>
        <v>1436</v>
      </c>
      <c r="D5" s="45"/>
      <c r="E5" s="51"/>
      <c r="F5" s="50">
        <f>SUM(Product_Master!U:U)</f>
        <v>4530190</v>
      </c>
      <c r="G5" s="45"/>
      <c r="H5" s="51"/>
      <c r="I5" s="45"/>
      <c r="J5" s="45"/>
      <c r="K5" s="45"/>
      <c r="L5" s="46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 spans="1:25">
      <c r="B6" s="45"/>
      <c r="C6" s="45"/>
      <c r="D6" s="45"/>
      <c r="E6" s="45"/>
      <c r="F6" s="45"/>
      <c r="G6" s="45"/>
      <c r="H6" s="45"/>
      <c r="I6" s="45"/>
      <c r="J6" s="45"/>
      <c r="K6" s="45"/>
      <c r="L6" s="46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8" spans="1:25">
      <c r="B8" s="12" t="s">
        <v>5</v>
      </c>
      <c r="C8" t="s">
        <v>6</v>
      </c>
    </row>
    <row r="9" spans="1:25">
      <c r="B9" s="104">
        <v>46190</v>
      </c>
      <c r="C9" s="13">
        <v>37</v>
      </c>
    </row>
    <row r="10" spans="1:25">
      <c r="B10" s="104">
        <v>46191</v>
      </c>
      <c r="C10" s="13">
        <v>5</v>
      </c>
      <c r="O10" s="13" t="e" vm="1">
        <v>#VALUE!</v>
      </c>
    </row>
    <row r="11" spans="1:25">
      <c r="B11" s="104">
        <v>46192</v>
      </c>
      <c r="C11" s="13">
        <v>1</v>
      </c>
    </row>
    <row r="12" spans="1:25">
      <c r="B12" s="104">
        <v>46193</v>
      </c>
      <c r="C12" s="13">
        <v>5</v>
      </c>
    </row>
    <row r="13" spans="1:25">
      <c r="B13" s="104">
        <v>46194</v>
      </c>
      <c r="C13" s="13">
        <v>1</v>
      </c>
    </row>
    <row r="14" spans="1:25">
      <c r="B14" s="104">
        <v>46195</v>
      </c>
      <c r="C14" s="13">
        <v>6</v>
      </c>
      <c r="S14" s="112" t="s">
        <v>7</v>
      </c>
      <c r="T14" s="112"/>
      <c r="U14" s="112"/>
    </row>
    <row r="15" spans="1:25">
      <c r="B15" s="104">
        <v>46196</v>
      </c>
      <c r="C15" s="13">
        <v>4</v>
      </c>
      <c r="S15" t="s">
        <v>8</v>
      </c>
      <c r="T15" t="s">
        <v>9</v>
      </c>
      <c r="U15" t="s">
        <v>10</v>
      </c>
    </row>
    <row r="16" spans="1:25" ht="15.75">
      <c r="B16" s="104">
        <v>46197</v>
      </c>
      <c r="C16" s="13">
        <v>2</v>
      </c>
      <c r="E16" s="43"/>
      <c r="P16" s="12" t="s">
        <v>11</v>
      </c>
      <c r="Q16" t="s">
        <v>12</v>
      </c>
      <c r="S16" s="104" cm="1">
        <f t="array" aca="1" ref="S16:U17" ca="1">_xlfn._xlws.SORT(_xlfn._xlws.FILTER(_xlfn.CHOOSECOLS(Purchase!B:M, 12, 3, 11), (Purchase!M:M &gt;= TODAY()) * (Purchase!M:M &lt;= TODAY()+14) * (Purchase!L:L &gt; 0), "No upcoming bills"), 1, 1)</f>
        <v>46240</v>
      </c>
      <c r="T16" t="str">
        <f ca="1"/>
        <v>Bederco</v>
      </c>
      <c r="U16">
        <f ca="1"/>
        <v>18000</v>
      </c>
    </row>
    <row r="17" spans="2:21">
      <c r="B17" s="104">
        <v>46198</v>
      </c>
      <c r="C17" s="13">
        <v>1</v>
      </c>
      <c r="J17" s="3"/>
      <c r="K17" s="4"/>
      <c r="L17" s="5"/>
      <c r="S17" s="104">
        <f ca="1"/>
        <v>46242</v>
      </c>
      <c r="T17" t="str">
        <f ca="1"/>
        <v>Bederco</v>
      </c>
      <c r="U17">
        <f ca="1"/>
        <v>2000</v>
      </c>
    </row>
    <row r="18" spans="2:21">
      <c r="B18" s="104">
        <v>46199</v>
      </c>
      <c r="C18" s="13">
        <v>2</v>
      </c>
      <c r="J18" s="6"/>
      <c r="K18" s="7"/>
      <c r="L18" s="8"/>
      <c r="P18" s="12" t="s">
        <v>13</v>
      </c>
      <c r="S18" s="104"/>
    </row>
    <row r="19" spans="2:21">
      <c r="B19" s="104">
        <v>46200</v>
      </c>
      <c r="C19" s="13">
        <v>7</v>
      </c>
      <c r="J19" s="6"/>
      <c r="K19" s="7"/>
      <c r="L19" s="8"/>
      <c r="P19" t="s">
        <v>14</v>
      </c>
      <c r="S19" s="104"/>
    </row>
    <row r="20" spans="2:21">
      <c r="B20" s="104">
        <v>46201</v>
      </c>
      <c r="C20" s="13">
        <v>55</v>
      </c>
      <c r="J20" s="6"/>
      <c r="K20" s="7"/>
      <c r="L20" s="8"/>
      <c r="P20" t="s">
        <v>15</v>
      </c>
    </row>
    <row r="21" spans="2:21">
      <c r="B21" s="104">
        <v>46202</v>
      </c>
      <c r="C21" s="13">
        <v>1</v>
      </c>
      <c r="J21" s="6"/>
      <c r="K21" s="7"/>
      <c r="L21" s="8"/>
      <c r="P21" t="s">
        <v>16</v>
      </c>
    </row>
    <row r="22" spans="2:21">
      <c r="B22" s="104">
        <v>46203</v>
      </c>
      <c r="C22" s="13">
        <v>2</v>
      </c>
      <c r="J22" s="6"/>
      <c r="K22" s="7"/>
      <c r="L22" s="8"/>
      <c r="P22" t="s">
        <v>17</v>
      </c>
    </row>
    <row r="23" spans="2:21">
      <c r="B23" s="104">
        <v>46204</v>
      </c>
      <c r="C23" s="13">
        <v>3</v>
      </c>
      <c r="J23" s="6"/>
      <c r="K23" s="7"/>
      <c r="L23" s="8"/>
      <c r="P23" t="s">
        <v>18</v>
      </c>
    </row>
    <row r="24" spans="2:21">
      <c r="B24" s="104">
        <v>46205</v>
      </c>
      <c r="C24" s="13">
        <v>1</v>
      </c>
      <c r="J24" s="6"/>
      <c r="K24" s="7"/>
      <c r="L24" s="8"/>
      <c r="P24" t="s">
        <v>19</v>
      </c>
    </row>
    <row r="25" spans="2:21">
      <c r="B25" s="104" t="s">
        <v>20</v>
      </c>
      <c r="C25" s="13">
        <v>52</v>
      </c>
      <c r="J25" s="6"/>
      <c r="K25" s="7"/>
      <c r="L25" s="8"/>
      <c r="P25" t="s">
        <v>21</v>
      </c>
    </row>
    <row r="26" spans="2:21">
      <c r="B26" s="104" t="s">
        <v>22</v>
      </c>
      <c r="C26" s="13">
        <v>185</v>
      </c>
      <c r="J26" s="6"/>
      <c r="K26" s="7"/>
      <c r="L26" s="8"/>
      <c r="P26" t="s">
        <v>23</v>
      </c>
    </row>
    <row r="27" spans="2:21">
      <c r="J27" s="6"/>
      <c r="K27" s="7"/>
      <c r="L27" s="8"/>
      <c r="P27" t="s">
        <v>24</v>
      </c>
    </row>
    <row r="28" spans="2:21">
      <c r="J28" s="6"/>
      <c r="K28" s="7"/>
      <c r="L28" s="8"/>
      <c r="P28" t="s">
        <v>25</v>
      </c>
    </row>
    <row r="29" spans="2:21">
      <c r="J29" s="6"/>
      <c r="K29" s="7"/>
      <c r="L29" s="8"/>
      <c r="P29" t="s">
        <v>26</v>
      </c>
    </row>
    <row r="30" spans="2:21">
      <c r="J30" s="6"/>
      <c r="K30" s="7"/>
      <c r="L30" s="8"/>
      <c r="P30" t="s">
        <v>27</v>
      </c>
    </row>
    <row r="31" spans="2:21">
      <c r="J31" s="6"/>
      <c r="K31" s="7"/>
      <c r="L31" s="8"/>
      <c r="P31" t="s">
        <v>28</v>
      </c>
    </row>
    <row r="32" spans="2:21">
      <c r="J32" s="6"/>
      <c r="K32" s="7"/>
      <c r="L32" s="8"/>
      <c r="P32" t="s">
        <v>29</v>
      </c>
    </row>
    <row r="33" spans="4:16">
      <c r="J33" s="6"/>
      <c r="K33" s="7"/>
      <c r="L33" s="8"/>
      <c r="P33" t="s">
        <v>30</v>
      </c>
    </row>
    <row r="34" spans="4:16">
      <c r="J34" s="9"/>
      <c r="K34" s="10"/>
      <c r="L34" s="11"/>
      <c r="P34" t="s">
        <v>31</v>
      </c>
    </row>
    <row r="35" spans="4:16">
      <c r="P35" t="s">
        <v>32</v>
      </c>
    </row>
    <row r="36" spans="4:16">
      <c r="P36" t="s">
        <v>33</v>
      </c>
    </row>
    <row r="37" spans="4:16">
      <c r="P37" t="s">
        <v>34</v>
      </c>
    </row>
    <row r="38" spans="4:16">
      <c r="P38" t="s">
        <v>35</v>
      </c>
    </row>
    <row r="39" spans="4:16">
      <c r="P39" t="s">
        <v>36</v>
      </c>
    </row>
    <row r="40" spans="4:16">
      <c r="P40" t="s">
        <v>37</v>
      </c>
    </row>
    <row r="41" spans="4:16">
      <c r="P41" t="s">
        <v>22</v>
      </c>
    </row>
    <row r="42" spans="4:16">
      <c r="D42" s="12" t="s">
        <v>11</v>
      </c>
      <c r="E42" t="s">
        <v>38</v>
      </c>
    </row>
    <row r="43" spans="4:16">
      <c r="D43" t="s">
        <v>20</v>
      </c>
      <c r="E43" s="13"/>
    </row>
    <row r="44" spans="4:16">
      <c r="D44" t="s">
        <v>39</v>
      </c>
      <c r="E44" s="13">
        <v>1</v>
      </c>
    </row>
    <row r="45" spans="4:16">
      <c r="D45" t="s">
        <v>40</v>
      </c>
      <c r="E45" s="13">
        <v>1</v>
      </c>
    </row>
    <row r="46" spans="4:16">
      <c r="D46">
        <v>0</v>
      </c>
      <c r="E46" s="13">
        <v>21</v>
      </c>
    </row>
    <row r="47" spans="4:16">
      <c r="D47">
        <v>1</v>
      </c>
      <c r="E47" s="13">
        <v>1</v>
      </c>
    </row>
    <row r="48" spans="4:16">
      <c r="D48" t="s">
        <v>22</v>
      </c>
      <c r="E48" s="13">
        <v>24</v>
      </c>
    </row>
  </sheetData>
  <mergeCells count="3">
    <mergeCell ref="B1:E1"/>
    <mergeCell ref="N1:P1"/>
    <mergeCell ref="S14:U14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showGridLines="0" workbookViewId="0">
      <selection activeCell="O19" sqref="O19"/>
    </sheetView>
  </sheetViews>
  <sheetFormatPr defaultRowHeight="15"/>
  <cols>
    <col min="1" max="1" width="5.5703125" style="36" customWidth="1"/>
    <col min="2" max="2" width="6.7109375" customWidth="1"/>
    <col min="3" max="3" width="11.7109375" bestFit="1" customWidth="1"/>
    <col min="4" max="4" width="13" customWidth="1"/>
    <col min="5" max="5" width="15.5703125" customWidth="1"/>
    <col min="6" max="6" width="13" customWidth="1"/>
    <col min="7" max="7" width="14.85546875" customWidth="1"/>
    <col min="8" max="8" width="11.5703125" style="58" customWidth="1"/>
    <col min="9" max="9" width="11.85546875" style="58" bestFit="1" customWidth="1"/>
    <col min="10" max="10" width="13.5703125" bestFit="1" customWidth="1"/>
    <col min="11" max="11" width="16" customWidth="1"/>
    <col min="12" max="12" width="11.42578125" customWidth="1"/>
    <col min="13" max="13" width="16.85546875" customWidth="1"/>
    <col min="14" max="14" width="15.85546875" customWidth="1"/>
    <col min="15" max="15" width="13.140625" customWidth="1"/>
    <col min="16" max="16" width="15.28515625" customWidth="1"/>
    <col min="17" max="17" width="16.42578125" customWidth="1"/>
    <col min="18" max="18" width="11.85546875" style="40" customWidth="1"/>
    <col min="20" max="20" width="15.85546875" customWidth="1"/>
    <col min="21" max="21" width="16.7109375" style="48" customWidth="1"/>
  </cols>
  <sheetData>
    <row r="1" spans="1:21" ht="18" customHeight="1">
      <c r="A1" s="107"/>
      <c r="B1" s="34"/>
      <c r="C1" s="53"/>
      <c r="D1" s="16"/>
      <c r="J1" s="91" t="s">
        <v>41</v>
      </c>
      <c r="K1" s="114" t="s">
        <v>42</v>
      </c>
      <c r="L1" s="114"/>
      <c r="M1" s="108" t="s">
        <v>11</v>
      </c>
      <c r="N1" s="108"/>
      <c r="O1" s="108"/>
    </row>
    <row r="2" spans="1:21" ht="24.75" customHeight="1">
      <c r="A2" s="107"/>
      <c r="B2" s="16"/>
      <c r="C2" s="113" t="s">
        <v>43</v>
      </c>
      <c r="D2" s="113"/>
      <c r="E2" s="113"/>
      <c r="J2" s="109" t="s">
        <v>14</v>
      </c>
      <c r="K2" s="115">
        <f>_xlfn.XLOOKUP(J2, $E$5:$E$996, $O$5:$O$996, "-")</f>
        <v>43</v>
      </c>
      <c r="L2" s="115"/>
      <c r="M2" s="109" t="str">
        <f>_xlfn.XLOOKUP(J2, $E$5:$E$996, $Q$5:$Q$996, "-")</f>
        <v>In Stock</v>
      </c>
      <c r="N2" s="97"/>
      <c r="O2" s="97"/>
    </row>
    <row r="3" spans="1:21" ht="10.5" customHeight="1">
      <c r="A3" s="107"/>
    </row>
    <row r="4" spans="1:21">
      <c r="A4" s="107"/>
      <c r="B4" s="2" t="s">
        <v>44</v>
      </c>
      <c r="C4" s="2" t="s">
        <v>45</v>
      </c>
      <c r="D4" s="38" t="s">
        <v>46</v>
      </c>
      <c r="E4" s="2" t="s">
        <v>13</v>
      </c>
      <c r="F4" s="2" t="s">
        <v>47</v>
      </c>
      <c r="G4" s="38" t="s">
        <v>48</v>
      </c>
      <c r="H4" s="60" t="s">
        <v>49</v>
      </c>
      <c r="I4" s="60" t="s">
        <v>50</v>
      </c>
      <c r="J4" s="2" t="s">
        <v>51</v>
      </c>
      <c r="K4" s="2" t="s">
        <v>52</v>
      </c>
      <c r="L4" s="2" t="s">
        <v>53</v>
      </c>
      <c r="M4" s="2" t="s">
        <v>40</v>
      </c>
      <c r="N4" s="38" t="s">
        <v>54</v>
      </c>
      <c r="O4" s="2" t="s">
        <v>55</v>
      </c>
      <c r="P4" s="2" t="s">
        <v>56</v>
      </c>
      <c r="Q4" s="2" t="s">
        <v>11</v>
      </c>
      <c r="R4" s="41" t="s">
        <v>57</v>
      </c>
      <c r="S4" s="2" t="s">
        <v>58</v>
      </c>
      <c r="T4" s="2" t="s">
        <v>59</v>
      </c>
      <c r="U4" s="49" t="s">
        <v>3</v>
      </c>
    </row>
    <row r="5" spans="1:21">
      <c r="A5" s="107"/>
      <c r="B5" s="2">
        <v>1</v>
      </c>
      <c r="C5" s="2" t="s">
        <v>60</v>
      </c>
      <c r="D5" s="2" t="str">
        <f>MID(LEFT(Product_Master[[#This Row],[SKU]], 7), FIND("-", Product_Master[[#This Row],[SKU]]) - 3, LEN(Product_Master[[#This Row],[SKU]]))</f>
        <v>SKU-001</v>
      </c>
      <c r="E5" s="2" t="s">
        <v>14</v>
      </c>
      <c r="F5" s="2" t="s">
        <v>61</v>
      </c>
      <c r="G5" s="38">
        <v>1</v>
      </c>
      <c r="H5" s="61">
        <f>_xlfn.XLOOKUP(D5, Purchase!E:E, Purchase!I:I, 0, 0, -1) *Product_Master[[#This Row],[Pack Quantity]]</f>
        <v>2000</v>
      </c>
      <c r="I5" s="60">
        <v>3000</v>
      </c>
      <c r="J5" s="2">
        <v>50</v>
      </c>
      <c r="K5" s="2">
        <f>SUMIF(Purchase!E:E, C5, Purchase!H:H)</f>
        <v>10</v>
      </c>
      <c r="L5" s="2">
        <f>SUMIFS(Sales!H:H, Sales!E:E, Product_Master[[#This Row],[SKU]])</f>
        <v>14</v>
      </c>
      <c r="M5" s="2">
        <f>SUMIFS(Adjustments!C:C, Adjustments!A:A, Product_Master[[#This Row],[SKU]], Adjustments!D:D, "Adjustment - Add")</f>
        <v>0</v>
      </c>
      <c r="N5" s="2" cm="1">
        <f t="array" ref="N5">SUM(SUMIFS(Adjustments!C:C, Adjustments!A:A, Product_Master[[#This Row],[SKU]], Adjustments!D:D, {"Scrap","Adjustment - Subtract"}))</f>
        <v>3</v>
      </c>
      <c r="O5" s="2">
        <f>J5 + K5 - L5 + Product_Master[[#This Row],[Adjustments (+)]] - Product_Master[[#This Row],[Adjustments (-)]]</f>
        <v>43</v>
      </c>
      <c r="P5" s="2">
        <v>3</v>
      </c>
      <c r="Q5" s="2" t="str">
        <f t="shared" ref="Q5:Q26" si="0">IF(G5&gt;1, "In Stock", IF(O5=0, "Out of Stock", IF(O5&lt;=P5, "Low Stock", "In Stock")))</f>
        <v>In Stock</v>
      </c>
      <c r="R5" s="42">
        <f>IF(OR(ISBLANK(I5), I5=0), "-", (I5 - H5) / I5)</f>
        <v>0.33333333333333331</v>
      </c>
      <c r="S5" s="39">
        <f t="shared" ref="S5:S25" si="1">IF(OR(ISBLANK(H5), ISBLANK(I5)), "-", I5 - H5)</f>
        <v>1000</v>
      </c>
      <c r="T5" s="1">
        <v>47290</v>
      </c>
      <c r="U5" s="49">
        <f>Product_Master[[#This Row],[Unit Cost]]*Product_Master[[#This Row],[On Hand]]</f>
        <v>86000</v>
      </c>
    </row>
    <row r="6" spans="1:21">
      <c r="A6" s="107"/>
      <c r="B6" s="2">
        <v>2</v>
      </c>
      <c r="C6" s="2" t="s">
        <v>62</v>
      </c>
      <c r="D6" s="2" t="str">
        <f>MID(LEFT(Product_Master[[#This Row],[SKU]], 7), FIND("-", Product_Master[[#This Row],[SKU]]) - 3, LEN(Product_Master[[#This Row],[SKU]]))</f>
        <v>SKU-001</v>
      </c>
      <c r="E6" s="2" t="s">
        <v>21</v>
      </c>
      <c r="F6" s="2" t="s">
        <v>61</v>
      </c>
      <c r="G6" s="38">
        <v>6</v>
      </c>
      <c r="H6" s="61">
        <f>_xlfn.XLOOKUP(D6, Purchase!E:E, Purchase!I:I, 0, 0, -1) *Product_Master[[#This Row],[Pack Quantity]]</f>
        <v>12000</v>
      </c>
      <c r="I6" s="60">
        <v>15000</v>
      </c>
      <c r="J6" s="2">
        <v>0</v>
      </c>
      <c r="K6" s="2">
        <f>SUMIF(Purchase!E:E, C6, Purchase!H:H)</f>
        <v>0</v>
      </c>
      <c r="L6" s="39">
        <f>SUMIFS(Sales!H:H, Sales!E:E, Product_Master[[#This Row],[SKU]])</f>
        <v>0</v>
      </c>
      <c r="M6" s="39">
        <f>SUMIFS(Adjustments!C:C, Adjustments!A:A, Product_Master[[#This Row],[SKU]], Adjustments!D:D, "Adjustment - Add")</f>
        <v>0</v>
      </c>
      <c r="N6" s="39" cm="1">
        <f t="array" ref="N6">SUM(SUMIFS(Adjustments!C:C, Adjustments!A:A, Product_Master[[#This Row],[SKU]], Adjustments!D:D, {"Scrap","Adjustment - Subtract"}))</f>
        <v>0</v>
      </c>
      <c r="O6" s="39">
        <f>J6 + K6 - L6 + Product_Master[[#This Row],[Adjustments (+)]] - Product_Master[[#This Row],[Adjustments (-)]]</f>
        <v>0</v>
      </c>
      <c r="P6" s="2">
        <v>0</v>
      </c>
      <c r="Q6" s="39" t="str">
        <f>IF(G6&gt;1, "In Stock", IF(O6=0, "Out of Stock", IF(O6&lt;=P6, "Low Stock", "In Stock")))</f>
        <v>In Stock</v>
      </c>
      <c r="R6" s="42">
        <f t="shared" ref="R6:R26" si="2">IF(OR(ISBLANK(I6), I6=0), "-", (I6 - H6) / I6)</f>
        <v>0.2</v>
      </c>
      <c r="S6" s="39">
        <f t="shared" si="1"/>
        <v>3000</v>
      </c>
      <c r="T6" s="13"/>
      <c r="U6" s="49">
        <f>Product_Master[[#This Row],[Unit Cost]]*Product_Master[[#This Row],[On Hand]]</f>
        <v>0</v>
      </c>
    </row>
    <row r="7" spans="1:21">
      <c r="A7" s="107"/>
      <c r="B7" s="2">
        <v>3</v>
      </c>
      <c r="C7" s="2" t="s">
        <v>63</v>
      </c>
      <c r="D7" s="2" t="str">
        <f>MID(LEFT(Product_Master[[#This Row],[SKU]], 7), FIND("-", Product_Master[[#This Row],[SKU]]) - 3, LEN(Product_Master[[#This Row],[SKU]]))</f>
        <v>SKU-001</v>
      </c>
      <c r="E7" s="2" t="s">
        <v>23</v>
      </c>
      <c r="F7" s="2" t="s">
        <v>61</v>
      </c>
      <c r="G7" s="38">
        <v>4</v>
      </c>
      <c r="H7" s="61">
        <f>_xlfn.XLOOKUP(D7, Purchase!E:E, Purchase!I:I, 0, 0, -1) *Product_Master[[#This Row],[Pack Quantity]]</f>
        <v>8000</v>
      </c>
      <c r="I7" s="60">
        <v>11000</v>
      </c>
      <c r="J7" s="2">
        <v>0</v>
      </c>
      <c r="K7" s="2">
        <f>SUMIF(Purchase!E:E, C7, Purchase!H:H)</f>
        <v>0</v>
      </c>
      <c r="L7" s="39">
        <f>SUMIFS(Sales!H:H, Sales!E:E, Product_Master[[#This Row],[SKU]])</f>
        <v>0</v>
      </c>
      <c r="M7" s="39">
        <f>SUMIFS(Adjustments!C:C, Adjustments!A:A, Product_Master[[#This Row],[SKU]], Adjustments!D:D, "Adjustment - Add")</f>
        <v>0</v>
      </c>
      <c r="N7" s="39" cm="1">
        <f t="array" ref="N7">SUM(SUMIFS(Adjustments!C:C, Adjustments!A:A, Product_Master[[#This Row],[SKU]], Adjustments!D:D, {"Scrap","Adjustment - Subtract"}))</f>
        <v>0</v>
      </c>
      <c r="O7" s="39">
        <f>J7 + K7 - L7 + Product_Master[[#This Row],[Adjustments (+)]] - Product_Master[[#This Row],[Adjustments (-)]]</f>
        <v>0</v>
      </c>
      <c r="P7" s="2">
        <v>0</v>
      </c>
      <c r="Q7" s="39" t="str">
        <f t="shared" si="0"/>
        <v>In Stock</v>
      </c>
      <c r="R7" s="42">
        <f t="shared" si="2"/>
        <v>0.27272727272727271</v>
      </c>
      <c r="S7" s="39">
        <f t="shared" si="1"/>
        <v>3000</v>
      </c>
      <c r="T7" s="1"/>
      <c r="U7" s="49">
        <f>Product_Master[[#This Row],[Unit Cost]]*Product_Master[[#This Row],[On Hand]]</f>
        <v>0</v>
      </c>
    </row>
    <row r="8" spans="1:21">
      <c r="A8" s="107"/>
      <c r="B8" s="2">
        <v>4</v>
      </c>
      <c r="C8" s="2" t="s">
        <v>64</v>
      </c>
      <c r="D8" s="2" t="str">
        <f>MID(LEFT(Product_Master[[#This Row],[SKU]], 7), FIND("-", Product_Master[[#This Row],[SKU]]) - 3, LEN(Product_Master[[#This Row],[SKU]]))</f>
        <v>SKU-002</v>
      </c>
      <c r="E8" s="2" t="s">
        <v>15</v>
      </c>
      <c r="F8" s="2" t="s">
        <v>65</v>
      </c>
      <c r="G8" s="2">
        <v>1</v>
      </c>
      <c r="H8" s="61">
        <f>_xlfn.XLOOKUP(D8, Purchase!E:E, Purchase!I:I, 0, 0, -1) *Product_Master[[#This Row],[Pack Quantity]]</f>
        <v>1200</v>
      </c>
      <c r="I8" s="60">
        <v>1900</v>
      </c>
      <c r="J8" s="2">
        <v>50</v>
      </c>
      <c r="K8" s="2">
        <f>SUMIF(Purchase!E:E, C8, Purchase!H:H)</f>
        <v>75</v>
      </c>
      <c r="L8" s="2">
        <f>SUMIFS(Sales!H:H, Sales!E:E, Product_Master[[#This Row],[SKU]])</f>
        <v>13</v>
      </c>
      <c r="M8" s="2">
        <f>SUMIFS(Adjustments!C:C, Adjustments!A:A, Product_Master[[#This Row],[SKU]], Adjustments!D:D, "Adjustment - Add")</f>
        <v>0</v>
      </c>
      <c r="N8" s="2" cm="1">
        <f t="array" ref="N8">SUM(SUMIFS(Adjustments!C:C, Adjustments!A:A, Product_Master[[#This Row],[SKU]], Adjustments!D:D, {"Scrap","Adjustment - Subtract"}))</f>
        <v>0</v>
      </c>
      <c r="O8" s="2">
        <f>J8 + K8 - L8 + Product_Master[[#This Row],[Adjustments (+)]] - Product_Master[[#This Row],[Adjustments (-)]]</f>
        <v>112</v>
      </c>
      <c r="P8" s="2">
        <v>38</v>
      </c>
      <c r="Q8" s="2" t="str">
        <f t="shared" si="0"/>
        <v>In Stock</v>
      </c>
      <c r="R8" s="42">
        <f t="shared" si="2"/>
        <v>0.36842105263157893</v>
      </c>
      <c r="S8" s="39">
        <f t="shared" si="1"/>
        <v>700</v>
      </c>
      <c r="T8" s="1">
        <v>46508</v>
      </c>
      <c r="U8" s="49">
        <f>Product_Master[[#This Row],[Unit Cost]]*Product_Master[[#This Row],[On Hand]]</f>
        <v>134400</v>
      </c>
    </row>
    <row r="9" spans="1:21">
      <c r="A9" s="107"/>
      <c r="B9" s="2">
        <v>5</v>
      </c>
      <c r="C9" s="2" t="s">
        <v>66</v>
      </c>
      <c r="D9" s="2" t="str">
        <f>MID(LEFT(Product_Master[[#This Row],[SKU]], 7), FIND("-", Product_Master[[#This Row],[SKU]]) - 3, LEN(Product_Master[[#This Row],[SKU]]))</f>
        <v>SKU-003</v>
      </c>
      <c r="E9" s="2" t="s">
        <v>16</v>
      </c>
      <c r="F9" s="2" t="s">
        <v>67</v>
      </c>
      <c r="G9" s="2">
        <v>1</v>
      </c>
      <c r="H9" s="61">
        <f>_xlfn.XLOOKUP(D9, Purchase!E:E, Purchase!I:I, 0, 0, -1) *Product_Master[[#This Row],[Pack Quantity]]</f>
        <v>500</v>
      </c>
      <c r="I9" s="60">
        <v>750</v>
      </c>
      <c r="J9" s="2">
        <v>50</v>
      </c>
      <c r="K9" s="2">
        <f>SUMIF(Purchase!E:E, C9, Purchase!H:H)</f>
        <v>24</v>
      </c>
      <c r="L9" s="2">
        <f>SUMIFS(Sales!H:H, Sales!E:E, Product_Master[[#This Row],[SKU]])</f>
        <v>6</v>
      </c>
      <c r="M9" s="2">
        <f>SUMIFS(Adjustments!C:C, Adjustments!A:A, Product_Master[[#This Row],[SKU]], Adjustments!D:D, "Adjustment - Add")</f>
        <v>1</v>
      </c>
      <c r="N9" s="2" cm="1">
        <f t="array" ref="N9">SUM(SUMIFS(Adjustments!C:C, Adjustments!A:A, Product_Master[[#This Row],[SKU]], Adjustments!D:D, {"Scrap","Adjustment - Subtract"}))</f>
        <v>0</v>
      </c>
      <c r="O9" s="2">
        <f>J9 + K9 - L9 + Product_Master[[#This Row],[Adjustments (+)]] - Product_Master[[#This Row],[Adjustments (-)]]</f>
        <v>69</v>
      </c>
      <c r="P9" s="2">
        <v>7</v>
      </c>
      <c r="Q9" s="2" t="str">
        <f t="shared" si="0"/>
        <v>In Stock</v>
      </c>
      <c r="R9" s="42">
        <f t="shared" si="2"/>
        <v>0.33333333333333331</v>
      </c>
      <c r="S9" s="39">
        <f t="shared" si="1"/>
        <v>250</v>
      </c>
      <c r="T9" s="1">
        <v>46236</v>
      </c>
      <c r="U9" s="49">
        <f>Product_Master[[#This Row],[Unit Cost]]*Product_Master[[#This Row],[On Hand]]</f>
        <v>34500</v>
      </c>
    </row>
    <row r="10" spans="1:21">
      <c r="A10" s="107"/>
      <c r="B10" s="2">
        <v>6</v>
      </c>
      <c r="C10" s="2" t="s">
        <v>68</v>
      </c>
      <c r="D10" s="2" t="str">
        <f>MID(LEFT(Product_Master[[#This Row],[SKU]], 7), FIND("-", Product_Master[[#This Row],[SKU]]) - 3, LEN(Product_Master[[#This Row],[SKU]]))</f>
        <v>SKU-004</v>
      </c>
      <c r="E10" s="2" t="s">
        <v>17</v>
      </c>
      <c r="F10" s="2" t="s">
        <v>69</v>
      </c>
      <c r="G10" s="2">
        <v>1</v>
      </c>
      <c r="H10" s="61">
        <f>_xlfn.XLOOKUP(D10, Purchase!E:E, Purchase!I:I, 0, 0, -1) *Product_Master[[#This Row],[Pack Quantity]]</f>
        <v>4000</v>
      </c>
      <c r="I10" s="60">
        <v>5500</v>
      </c>
      <c r="J10" s="2">
        <v>50</v>
      </c>
      <c r="K10" s="2">
        <f>SUMIF(Purchase!E:E, C10, Purchase!H:H)</f>
        <v>48</v>
      </c>
      <c r="L10" s="2">
        <f>SUMIFS(Sales!H:H, Sales!E:E, Product_Master[[#This Row],[SKU]])</f>
        <v>17</v>
      </c>
      <c r="M10" s="2">
        <f>SUMIFS(Adjustments!C:C, Adjustments!A:A, Product_Master[[#This Row],[SKU]], Adjustments!D:D, "Adjustment - Add")</f>
        <v>0</v>
      </c>
      <c r="N10" s="2" cm="1">
        <f t="array" ref="N10">SUM(SUMIFS(Adjustments!C:C, Adjustments!A:A, Product_Master[[#This Row],[SKU]], Adjustments!D:D, {"Scrap","Adjustment - Subtract"}))</f>
        <v>0</v>
      </c>
      <c r="O10" s="2">
        <f>J10 + K10 - L10 + Product_Master[[#This Row],[Adjustments (+)]] - Product_Master[[#This Row],[Adjustments (-)]]</f>
        <v>81</v>
      </c>
      <c r="P10" s="2">
        <v>11</v>
      </c>
      <c r="Q10" s="2" t="str">
        <f t="shared" si="0"/>
        <v>In Stock</v>
      </c>
      <c r="R10" s="42">
        <f t="shared" si="2"/>
        <v>0.27272727272727271</v>
      </c>
      <c r="S10" s="39">
        <f t="shared" si="1"/>
        <v>1500</v>
      </c>
      <c r="T10" s="54">
        <v>46205</v>
      </c>
      <c r="U10" s="49">
        <f>Product_Master[[#This Row],[Unit Cost]]*Product_Master[[#This Row],[On Hand]]</f>
        <v>324000</v>
      </c>
    </row>
    <row r="11" spans="1:21">
      <c r="A11" s="107"/>
      <c r="B11" s="2">
        <v>7</v>
      </c>
      <c r="C11" s="2" t="s">
        <v>70</v>
      </c>
      <c r="D11" s="2" t="str">
        <f>MID(LEFT(Product_Master[[#This Row],[SKU]], 7), FIND("-", Product_Master[[#This Row],[SKU]]) - 3, LEN(Product_Master[[#This Row],[SKU]]))</f>
        <v>SKU-005</v>
      </c>
      <c r="E11" s="2" t="s">
        <v>18</v>
      </c>
      <c r="F11" s="2" t="s">
        <v>71</v>
      </c>
      <c r="G11" s="2">
        <v>1</v>
      </c>
      <c r="H11" s="61">
        <f>_xlfn.XLOOKUP(D11, Purchase!E:E, Purchase!I:I, 0, 0, -1) *Product_Master[[#This Row],[Pack Quantity]]</f>
        <v>3500</v>
      </c>
      <c r="I11" s="60">
        <v>4500</v>
      </c>
      <c r="J11" s="2">
        <v>50</v>
      </c>
      <c r="K11" s="2">
        <f>SUMIF(Purchase!E:E, C11, Purchase!H:H)</f>
        <v>12</v>
      </c>
      <c r="L11" s="2">
        <f>SUMIFS(Sales!H:H, Sales!E:E, Product_Master[[#This Row],[SKU]])</f>
        <v>1</v>
      </c>
      <c r="M11" s="2">
        <f>SUMIFS(Adjustments!C:C, Adjustments!A:A, Product_Master[[#This Row],[SKU]], Adjustments!D:D, "Adjustment - Add")</f>
        <v>0</v>
      </c>
      <c r="N11" s="2" cm="1">
        <f t="array" ref="N11">SUM(SUMIFS(Adjustments!C:C, Adjustments!A:A, Product_Master[[#This Row],[SKU]], Adjustments!D:D, {"Scrap","Adjustment - Subtract"}))</f>
        <v>0</v>
      </c>
      <c r="O11" s="2">
        <f>J11 + K11 - L11 + Product_Master[[#This Row],[Adjustments (+)]] - Product_Master[[#This Row],[Adjustments (-)]]</f>
        <v>61</v>
      </c>
      <c r="P11" s="2">
        <v>7</v>
      </c>
      <c r="Q11" s="2" t="str">
        <f t="shared" si="0"/>
        <v>In Stock</v>
      </c>
      <c r="R11" s="42">
        <f t="shared" si="2"/>
        <v>0.22222222222222221</v>
      </c>
      <c r="S11" s="39">
        <f t="shared" si="1"/>
        <v>1000</v>
      </c>
      <c r="T11" s="1">
        <v>46179</v>
      </c>
      <c r="U11" s="49">
        <f>Product_Master[[#This Row],[Unit Cost]]*Product_Master[[#This Row],[On Hand]]</f>
        <v>213500</v>
      </c>
    </row>
    <row r="12" spans="1:21">
      <c r="A12" s="107"/>
      <c r="B12" s="2">
        <v>8</v>
      </c>
      <c r="C12" s="2" t="s">
        <v>72</v>
      </c>
      <c r="D12" s="2" t="str">
        <f>MID(LEFT(Product_Master[[#This Row],[SKU]], 7), FIND("-", Product_Master[[#This Row],[SKU]]) - 3, LEN(Product_Master[[#This Row],[SKU]]))</f>
        <v>SKU-006</v>
      </c>
      <c r="E12" s="2" t="s">
        <v>19</v>
      </c>
      <c r="F12" s="2" t="s">
        <v>73</v>
      </c>
      <c r="G12" s="2">
        <v>1</v>
      </c>
      <c r="H12" s="61">
        <f>_xlfn.XLOOKUP(D12, Purchase!E:E, Purchase!I:I, 0, 0, -1) *Product_Master[[#This Row],[Pack Quantity]]</f>
        <v>5900</v>
      </c>
      <c r="I12" s="60">
        <v>7000</v>
      </c>
      <c r="J12" s="2">
        <v>50</v>
      </c>
      <c r="K12" s="2">
        <f>SUMIF(Purchase!E:E, C12, Purchase!H:H)</f>
        <v>20</v>
      </c>
      <c r="L12" s="2">
        <f>SUMIFS(Sales!H:H, Sales!E:E, Product_Master[[#This Row],[SKU]])</f>
        <v>12</v>
      </c>
      <c r="M12" s="2">
        <f>SUMIFS(Adjustments!C:C, Adjustments!A:A, Product_Master[[#This Row],[SKU]], Adjustments!D:D, "Adjustment - Add")</f>
        <v>0</v>
      </c>
      <c r="N12" s="2" cm="1">
        <f t="array" ref="N12">SUM(SUMIFS(Adjustments!C:C, Adjustments!A:A, Product_Master[[#This Row],[SKU]], Adjustments!D:D, {"Scrap","Adjustment - Subtract"}))</f>
        <v>0</v>
      </c>
      <c r="O12" s="2">
        <f>J12 + K12 - L12 + Product_Master[[#This Row],[Adjustments (+)]] - Product_Master[[#This Row],[Adjustments (-)]]</f>
        <v>58</v>
      </c>
      <c r="P12" s="2">
        <v>3</v>
      </c>
      <c r="Q12" s="2" t="str">
        <f t="shared" si="0"/>
        <v>In Stock</v>
      </c>
      <c r="R12" s="42">
        <f t="shared" si="2"/>
        <v>0.15714285714285714</v>
      </c>
      <c r="S12" s="39">
        <f t="shared" si="1"/>
        <v>1100</v>
      </c>
      <c r="T12" s="1">
        <v>47699</v>
      </c>
      <c r="U12" s="49">
        <f>Product_Master[[#This Row],[Unit Cost]]*Product_Master[[#This Row],[On Hand]]</f>
        <v>342200</v>
      </c>
    </row>
    <row r="13" spans="1:21">
      <c r="A13" s="107"/>
      <c r="B13" s="2">
        <v>9</v>
      </c>
      <c r="C13" s="2" t="s">
        <v>74</v>
      </c>
      <c r="D13" s="2" t="str">
        <f>MID(LEFT(Product_Master[[#This Row],[SKU]], 7), FIND("-", Product_Master[[#This Row],[SKU]]) - 3, LEN(Product_Master[[#This Row],[SKU]]))</f>
        <v>SKU-007</v>
      </c>
      <c r="E13" s="2" t="s">
        <v>24</v>
      </c>
      <c r="F13" s="2" t="s">
        <v>67</v>
      </c>
      <c r="G13" s="2">
        <v>1</v>
      </c>
      <c r="H13" s="61">
        <f>_xlfn.XLOOKUP(D13, Purchase!E:E, Purchase!I:I, 0, 0, -1) *Product_Master[[#This Row],[Pack Quantity]]</f>
        <v>5000</v>
      </c>
      <c r="I13" s="60">
        <v>6200</v>
      </c>
      <c r="J13" s="2">
        <v>50</v>
      </c>
      <c r="K13" s="2">
        <f>SUMIF(Purchase!E:E, C13, Purchase!H:H)</f>
        <v>90</v>
      </c>
      <c r="L13" s="39">
        <f>SUMIFS(Sales!H:H, Sales!E:E, Product_Master[[#This Row],[SKU]])</f>
        <v>0</v>
      </c>
      <c r="M13" s="39">
        <f>SUMIFS(Adjustments!C:C, Adjustments!A:A, Product_Master[[#This Row],[SKU]], Adjustments!D:D, "Adjustment - Add")</f>
        <v>0</v>
      </c>
      <c r="N13" s="39" cm="1">
        <f t="array" ref="N13">SUM(SUMIFS(Adjustments!C:C, Adjustments!A:A, Product_Master[[#This Row],[SKU]], Adjustments!D:D, {"Scrap","Adjustment - Subtract"}))</f>
        <v>0</v>
      </c>
      <c r="O13" s="39">
        <f>J13 + K13 - L13 + Product_Master[[#This Row],[Adjustments (+)]] - Product_Master[[#This Row],[Adjustments (-)]]</f>
        <v>140</v>
      </c>
      <c r="P13" s="2">
        <v>8</v>
      </c>
      <c r="Q13" s="39" t="str">
        <f t="shared" si="0"/>
        <v>In Stock</v>
      </c>
      <c r="R13" s="42">
        <f t="shared" si="2"/>
        <v>0.19354838709677419</v>
      </c>
      <c r="S13" s="39">
        <f t="shared" si="1"/>
        <v>1200</v>
      </c>
      <c r="T13" s="1">
        <v>46512</v>
      </c>
      <c r="U13" s="49">
        <f>Product_Master[[#This Row],[Unit Cost]]*Product_Master[[#This Row],[On Hand]]</f>
        <v>700000</v>
      </c>
    </row>
    <row r="14" spans="1:21">
      <c r="A14" s="107"/>
      <c r="B14" s="2">
        <v>10</v>
      </c>
      <c r="C14" s="2" t="s">
        <v>75</v>
      </c>
      <c r="D14" s="2" t="str">
        <f>MID(LEFT(Product_Master[[#This Row],[SKU]], 7), FIND("-", Product_Master[[#This Row],[SKU]]) - 3, LEN(Product_Master[[#This Row],[SKU]]))</f>
        <v>SKU-008</v>
      </c>
      <c r="E14" s="2" t="s">
        <v>25</v>
      </c>
      <c r="F14" s="2" t="s">
        <v>65</v>
      </c>
      <c r="G14" s="2">
        <v>1</v>
      </c>
      <c r="H14" s="61">
        <f>_xlfn.XLOOKUP(D14, Purchase!E:E, Purchase!I:I, 0, 0, -1) *Product_Master[[#This Row],[Pack Quantity]]</f>
        <v>900</v>
      </c>
      <c r="I14" s="60">
        <v>1200</v>
      </c>
      <c r="J14" s="2">
        <v>50</v>
      </c>
      <c r="K14" s="2">
        <f>SUMIF(Purchase!E:E, C14, Purchase!H:H)</f>
        <v>12</v>
      </c>
      <c r="L14" s="39">
        <f>SUMIFS(Sales!H:H, Sales!E:E, Product_Master[[#This Row],[SKU]])</f>
        <v>0</v>
      </c>
      <c r="M14" s="39">
        <f>SUMIFS(Adjustments!C:C, Adjustments!A:A, Product_Master[[#This Row],[SKU]], Adjustments!D:D, "Adjustment - Add")</f>
        <v>0</v>
      </c>
      <c r="N14" s="39" cm="1">
        <f t="array" ref="N14">SUM(SUMIFS(Adjustments!C:C, Adjustments!A:A, Product_Master[[#This Row],[SKU]], Adjustments!D:D, {"Scrap","Adjustment - Subtract"}))</f>
        <v>0</v>
      </c>
      <c r="O14" s="39">
        <f>J14 + K14 - L14 + Product_Master[[#This Row],[Adjustments (+)]] - Product_Master[[#This Row],[Adjustments (-)]]</f>
        <v>62</v>
      </c>
      <c r="P14" s="2">
        <v>4</v>
      </c>
      <c r="Q14" s="39" t="str">
        <f t="shared" si="0"/>
        <v>In Stock</v>
      </c>
      <c r="R14" s="42">
        <f t="shared" si="2"/>
        <v>0.25</v>
      </c>
      <c r="S14" s="39">
        <f t="shared" si="1"/>
        <v>300</v>
      </c>
      <c r="T14" s="1">
        <v>46191</v>
      </c>
      <c r="U14" s="49">
        <f>Product_Master[[#This Row],[Unit Cost]]*Product_Master[[#This Row],[On Hand]]</f>
        <v>55800</v>
      </c>
    </row>
    <row r="15" spans="1:21">
      <c r="A15" s="107"/>
      <c r="B15" s="2">
        <v>11</v>
      </c>
      <c r="C15" s="2" t="s">
        <v>76</v>
      </c>
      <c r="D15" s="2" t="str">
        <f>MID(LEFT(Product_Master[[#This Row],[SKU]], 7), FIND("-", Product_Master[[#This Row],[SKU]]) - 3, LEN(Product_Master[[#This Row],[SKU]]))</f>
        <v>SKU-009</v>
      </c>
      <c r="E15" s="2" t="s">
        <v>26</v>
      </c>
      <c r="F15" s="2" t="s">
        <v>61</v>
      </c>
      <c r="G15" s="2">
        <v>1</v>
      </c>
      <c r="H15" s="61">
        <f>_xlfn.XLOOKUP(D15, Purchase!E:E, Purchase!I:I, 0, 0, -1) *Product_Master[[#This Row],[Pack Quantity]]</f>
        <v>540</v>
      </c>
      <c r="I15" s="60">
        <v>900</v>
      </c>
      <c r="J15" s="2">
        <v>50</v>
      </c>
      <c r="K15" s="2">
        <f>SUMIF(Purchase!E:E, C15, Purchase!H:H)</f>
        <v>48</v>
      </c>
      <c r="L15" s="39">
        <f>SUMIFS(Sales!H:H, Sales!E:E, Product_Master[[#This Row],[SKU]])</f>
        <v>0</v>
      </c>
      <c r="M15" s="39">
        <f>SUMIFS(Adjustments!C:C, Adjustments!A:A, Product_Master[[#This Row],[SKU]], Adjustments!D:D, "Adjustment - Add")</f>
        <v>0</v>
      </c>
      <c r="N15" s="39" cm="1">
        <f t="array" ref="N15">SUM(SUMIFS(Adjustments!C:C, Adjustments!A:A, Product_Master[[#This Row],[SKU]], Adjustments!D:D, {"Scrap","Adjustment - Subtract"}))</f>
        <v>0</v>
      </c>
      <c r="O15" s="39">
        <f>J15 + K15 - L15 + Product_Master[[#This Row],[Adjustments (+)]] - Product_Master[[#This Row],[Adjustments (-)]]</f>
        <v>98</v>
      </c>
      <c r="P15" s="2">
        <v>7</v>
      </c>
      <c r="Q15" s="39" t="str">
        <f t="shared" si="0"/>
        <v>In Stock</v>
      </c>
      <c r="R15" s="42">
        <f t="shared" si="2"/>
        <v>0.4</v>
      </c>
      <c r="S15" s="39">
        <f t="shared" si="1"/>
        <v>360</v>
      </c>
      <c r="T15" s="1">
        <v>46192</v>
      </c>
      <c r="U15" s="49">
        <f>Product_Master[[#This Row],[Unit Cost]]*Product_Master[[#This Row],[On Hand]]</f>
        <v>52920</v>
      </c>
    </row>
    <row r="16" spans="1:21">
      <c r="A16" s="107"/>
      <c r="B16" s="2">
        <v>12</v>
      </c>
      <c r="C16" s="2" t="s">
        <v>77</v>
      </c>
      <c r="D16" s="2" t="str">
        <f>MID(LEFT(Product_Master[[#This Row],[SKU]], 7), FIND("-", Product_Master[[#This Row],[SKU]]) - 3, LEN(Product_Master[[#This Row],[SKU]]))</f>
        <v>SKU-010</v>
      </c>
      <c r="E16" s="2" t="s">
        <v>27</v>
      </c>
      <c r="F16" s="2" t="s">
        <v>69</v>
      </c>
      <c r="G16" s="2">
        <v>1</v>
      </c>
      <c r="H16" s="61">
        <f>_xlfn.XLOOKUP(D16, Purchase!E:E, Purchase!I:I, 0, 0, -1) *Product_Master[[#This Row],[Pack Quantity]]</f>
        <v>9700</v>
      </c>
      <c r="I16" s="60">
        <v>12000</v>
      </c>
      <c r="J16" s="2">
        <v>50</v>
      </c>
      <c r="K16" s="2">
        <f>SUMIF(Purchase!E:E, C16, Purchase!H:H)</f>
        <v>50</v>
      </c>
      <c r="L16" s="39">
        <f>SUMIFS(Sales!H:H, Sales!E:E, Product_Master[[#This Row],[SKU]])</f>
        <v>0</v>
      </c>
      <c r="M16" s="39">
        <f>SUMIFS(Adjustments!C:C, Adjustments!A:A, Product_Master[[#This Row],[SKU]], Adjustments!D:D, "Adjustment - Add")</f>
        <v>0</v>
      </c>
      <c r="N16" s="39" cm="1">
        <f t="array" ref="N16">SUM(SUMIFS(Adjustments!C:C, Adjustments!A:A, Product_Master[[#This Row],[SKU]], Adjustments!D:D, {"Scrap","Adjustment - Subtract"}))</f>
        <v>0</v>
      </c>
      <c r="O16" s="39">
        <f>J16 + K16 - L16 + Product_Master[[#This Row],[Adjustments (+)]] - Product_Master[[#This Row],[Adjustments (-)]]</f>
        <v>100</v>
      </c>
      <c r="P16" s="2">
        <v>6</v>
      </c>
      <c r="Q16" s="39" t="str">
        <f t="shared" si="0"/>
        <v>In Stock</v>
      </c>
      <c r="R16" s="42">
        <f t="shared" si="2"/>
        <v>0.19166666666666668</v>
      </c>
      <c r="S16" s="39">
        <f t="shared" si="1"/>
        <v>2300</v>
      </c>
      <c r="T16" s="1">
        <v>46832</v>
      </c>
      <c r="U16" s="49">
        <f>Product_Master[[#This Row],[Unit Cost]]*Product_Master[[#This Row],[On Hand]]</f>
        <v>970000</v>
      </c>
    </row>
    <row r="17" spans="1:21">
      <c r="A17" s="107"/>
      <c r="B17" s="2">
        <v>13</v>
      </c>
      <c r="C17" s="2" t="s">
        <v>78</v>
      </c>
      <c r="D17" s="2" t="str">
        <f>MID(LEFT(Product_Master[[#This Row],[SKU]], 7), FIND("-", Product_Master[[#This Row],[SKU]]) - 3, LEN(Product_Master[[#This Row],[SKU]]))</f>
        <v>SKU-011</v>
      </c>
      <c r="E17" s="2" t="s">
        <v>28</v>
      </c>
      <c r="F17" s="2" t="s">
        <v>73</v>
      </c>
      <c r="G17" s="2">
        <v>1</v>
      </c>
      <c r="H17" s="61">
        <f>_xlfn.XLOOKUP(D17, Purchase!E:E, Purchase!I:I, 0, 0, -1) *Product_Master[[#This Row],[Pack Quantity]]</f>
        <v>2000</v>
      </c>
      <c r="I17" s="60">
        <v>3800</v>
      </c>
      <c r="J17" s="2">
        <v>50</v>
      </c>
      <c r="K17" s="2">
        <f>SUMIF(Purchase!E:E, C17, Purchase!H:H)</f>
        <v>72</v>
      </c>
      <c r="L17" s="39">
        <f>SUMIFS(Sales!H:H, Sales!E:E, Product_Master[[#This Row],[SKU]])</f>
        <v>0</v>
      </c>
      <c r="M17" s="39">
        <f>SUMIFS(Adjustments!C:C, Adjustments!A:A, Product_Master[[#This Row],[SKU]], Adjustments!D:D, "Adjustment - Add")</f>
        <v>0</v>
      </c>
      <c r="N17" s="39" cm="1">
        <f t="array" ref="N17">SUM(SUMIFS(Adjustments!C:C, Adjustments!A:A, Product_Master[[#This Row],[SKU]], Adjustments!D:D, {"Scrap","Adjustment - Subtract"}))</f>
        <v>0</v>
      </c>
      <c r="O17" s="39">
        <f>J17 + K17 - L17 + Product_Master[[#This Row],[Adjustments (+)]] - Product_Master[[#This Row],[Adjustments (-)]]</f>
        <v>122</v>
      </c>
      <c r="P17" s="2">
        <v>9</v>
      </c>
      <c r="Q17" s="39" t="str">
        <f t="shared" si="0"/>
        <v>In Stock</v>
      </c>
      <c r="R17" s="42">
        <f t="shared" si="2"/>
        <v>0.47368421052631576</v>
      </c>
      <c r="S17" s="39">
        <f t="shared" si="1"/>
        <v>1800</v>
      </c>
      <c r="T17" s="1">
        <v>47584</v>
      </c>
      <c r="U17" s="49">
        <f>Product_Master[[#This Row],[Unit Cost]]*Product_Master[[#This Row],[On Hand]]</f>
        <v>244000</v>
      </c>
    </row>
    <row r="18" spans="1:21">
      <c r="A18" s="107"/>
      <c r="B18" s="2">
        <v>14</v>
      </c>
      <c r="C18" s="2" t="s">
        <v>79</v>
      </c>
      <c r="D18" s="2" t="str">
        <f>MID(LEFT(Product_Master[[#This Row],[SKU]], 7), FIND("-", Product_Master[[#This Row],[SKU]]) - 3, LEN(Product_Master[[#This Row],[SKU]]))</f>
        <v>SKU-012</v>
      </c>
      <c r="E18" s="2" t="s">
        <v>29</v>
      </c>
      <c r="F18" s="2" t="s">
        <v>65</v>
      </c>
      <c r="G18" s="2">
        <v>1</v>
      </c>
      <c r="H18" s="61">
        <f>_xlfn.XLOOKUP(D18, Purchase!E:E, Purchase!I:I, 0, 0, -1) *Product_Master[[#This Row],[Pack Quantity]]</f>
        <v>4400</v>
      </c>
      <c r="I18" s="60">
        <v>6000</v>
      </c>
      <c r="J18" s="2">
        <v>50</v>
      </c>
      <c r="K18" s="2">
        <f>SUMIF(Purchase!E:E, C18, Purchase!H:H)</f>
        <v>30</v>
      </c>
      <c r="L18" s="39">
        <f>SUMIFS(Sales!H:H, Sales!E:E, Product_Master[[#This Row],[SKU]])</f>
        <v>0</v>
      </c>
      <c r="M18" s="39">
        <f>SUMIFS(Adjustments!C:C, Adjustments!A:A, Product_Master[[#This Row],[SKU]], Adjustments!D:D, "Adjustment - Add")</f>
        <v>0</v>
      </c>
      <c r="N18" s="39" cm="1">
        <f t="array" ref="N18">SUM(SUMIFS(Adjustments!C:C, Adjustments!A:A, Product_Master[[#This Row],[SKU]], Adjustments!D:D, {"Scrap","Adjustment - Subtract"}))</f>
        <v>0</v>
      </c>
      <c r="O18" s="39">
        <f>J18 + K18 - L18 + Product_Master[[#This Row],[Adjustments (+)]] - Product_Master[[#This Row],[Adjustments (-)]]</f>
        <v>80</v>
      </c>
      <c r="P18" s="2">
        <v>4</v>
      </c>
      <c r="Q18" s="39" t="str">
        <f t="shared" si="0"/>
        <v>In Stock</v>
      </c>
      <c r="R18" s="42">
        <f t="shared" si="2"/>
        <v>0.26666666666666666</v>
      </c>
      <c r="S18" s="39">
        <f t="shared" si="1"/>
        <v>1600</v>
      </c>
      <c r="T18" s="1">
        <v>46764</v>
      </c>
      <c r="U18" s="49">
        <f>Product_Master[[#This Row],[Unit Cost]]*Product_Master[[#This Row],[On Hand]]</f>
        <v>352000</v>
      </c>
    </row>
    <row r="19" spans="1:21">
      <c r="A19" s="107"/>
      <c r="B19" s="2">
        <v>15</v>
      </c>
      <c r="C19" s="2" t="s">
        <v>80</v>
      </c>
      <c r="D19" s="2" t="str">
        <f>MID(LEFT(Product_Master[[#This Row],[SKU]], 7), FIND("-", Product_Master[[#This Row],[SKU]]) - 3, LEN(Product_Master[[#This Row],[SKU]]))</f>
        <v>SKU-013</v>
      </c>
      <c r="E19" s="2" t="s">
        <v>30</v>
      </c>
      <c r="F19" s="2" t="s">
        <v>61</v>
      </c>
      <c r="G19" s="2">
        <v>1</v>
      </c>
      <c r="H19" s="61">
        <f>_xlfn.XLOOKUP(D19, Purchase!E:E, Purchase!I:I, 0, 0, -1) *Product_Master[[#This Row],[Pack Quantity]]</f>
        <v>650</v>
      </c>
      <c r="I19" s="60">
        <v>1000</v>
      </c>
      <c r="J19" s="2">
        <v>50</v>
      </c>
      <c r="K19" s="2">
        <f>SUMIF(Purchase!E:E, C19, Purchase!H:H)</f>
        <v>12</v>
      </c>
      <c r="L19" s="39">
        <f>SUMIFS(Sales!H:H, Sales!E:E, Product_Master[[#This Row],[SKU]])</f>
        <v>62</v>
      </c>
      <c r="M19" s="39">
        <f>SUMIFS(Adjustments!C:C, Adjustments!A:A, Product_Master[[#This Row],[SKU]], Adjustments!D:D, "Adjustment - Add")</f>
        <v>0</v>
      </c>
      <c r="N19" s="39" cm="1">
        <f t="array" ref="N19">SUM(SUMIFS(Adjustments!C:C, Adjustments!A:A, Product_Master[[#This Row],[SKU]], Adjustments!D:D, {"Scrap","Adjustment - Subtract"}))</f>
        <v>0</v>
      </c>
      <c r="O19" s="39">
        <f>J19 + K19 - L19 + Product_Master[[#This Row],[Adjustments (+)]] - Product_Master[[#This Row],[Adjustments (-)]]</f>
        <v>0</v>
      </c>
      <c r="P19" s="2">
        <v>13</v>
      </c>
      <c r="Q19" s="39" t="str">
        <f t="shared" si="0"/>
        <v>Out of Stock</v>
      </c>
      <c r="R19" s="42">
        <f t="shared" si="2"/>
        <v>0.35</v>
      </c>
      <c r="S19" s="39">
        <f t="shared" si="1"/>
        <v>350</v>
      </c>
      <c r="T19" s="1">
        <v>46210</v>
      </c>
      <c r="U19" s="49">
        <f>Product_Master[[#This Row],[Unit Cost]]*Product_Master[[#This Row],[On Hand]]</f>
        <v>0</v>
      </c>
    </row>
    <row r="20" spans="1:21">
      <c r="A20" s="107"/>
      <c r="B20" s="2">
        <v>16</v>
      </c>
      <c r="C20" s="2" t="s">
        <v>81</v>
      </c>
      <c r="D20" s="2" t="str">
        <f>MID(LEFT(Product_Master[[#This Row],[SKU]], 7), FIND("-", Product_Master[[#This Row],[SKU]]) - 3, LEN(Product_Master[[#This Row],[SKU]]))</f>
        <v>SKU-014</v>
      </c>
      <c r="E20" s="2" t="s">
        <v>31</v>
      </c>
      <c r="F20" s="2" t="s">
        <v>71</v>
      </c>
      <c r="G20" s="2">
        <v>1</v>
      </c>
      <c r="H20" s="61">
        <f>_xlfn.XLOOKUP(D20, Purchase!E:E, Purchase!I:I, 0, 0, -1) *Product_Master[[#This Row],[Pack Quantity]]</f>
        <v>260</v>
      </c>
      <c r="I20" s="60">
        <v>500</v>
      </c>
      <c r="J20" s="2">
        <v>50</v>
      </c>
      <c r="K20" s="2">
        <f>SUMIF(Purchase!E:E, C20, Purchase!H:H)</f>
        <v>14</v>
      </c>
      <c r="L20" s="39">
        <f>SUMIFS(Sales!H:H, Sales!E:E, Product_Master[[#This Row],[SKU]])</f>
        <v>0</v>
      </c>
      <c r="M20" s="39">
        <f>SUMIFS(Adjustments!C:C, Adjustments!A:A, Product_Master[[#This Row],[SKU]], Adjustments!D:D, "Adjustment - Add")</f>
        <v>0</v>
      </c>
      <c r="N20" s="39" cm="1">
        <f t="array" ref="N20">SUM(SUMIFS(Adjustments!C:C, Adjustments!A:A, Product_Master[[#This Row],[SKU]], Adjustments!D:D, {"Scrap","Adjustment - Subtract"}))</f>
        <v>0</v>
      </c>
      <c r="O20" s="39">
        <f>J20 + K20 - L20 + Product_Master[[#This Row],[Adjustments (+)]] - Product_Master[[#This Row],[Adjustments (-)]]</f>
        <v>64</v>
      </c>
      <c r="P20" s="2">
        <v>10</v>
      </c>
      <c r="Q20" s="39" t="str">
        <f t="shared" si="0"/>
        <v>In Stock</v>
      </c>
      <c r="R20" s="42">
        <f t="shared" si="2"/>
        <v>0.48</v>
      </c>
      <c r="S20" s="39">
        <f t="shared" si="1"/>
        <v>240</v>
      </c>
      <c r="T20" s="54">
        <v>46146</v>
      </c>
      <c r="U20" s="49">
        <f>Product_Master[[#This Row],[Unit Cost]]*Product_Master[[#This Row],[On Hand]]</f>
        <v>16640</v>
      </c>
    </row>
    <row r="21" spans="1:21">
      <c r="A21" s="107"/>
      <c r="B21" s="2">
        <v>17</v>
      </c>
      <c r="C21" s="2" t="s">
        <v>82</v>
      </c>
      <c r="D21" s="2" t="str">
        <f>MID(LEFT(Product_Master[[#This Row],[SKU]], 7), FIND("-", Product_Master[[#This Row],[SKU]]) - 3, LEN(Product_Master[[#This Row],[SKU]]))</f>
        <v>SKU-015</v>
      </c>
      <c r="E21" s="2" t="s">
        <v>32</v>
      </c>
      <c r="F21" s="2" t="s">
        <v>65</v>
      </c>
      <c r="G21" s="2">
        <v>1</v>
      </c>
      <c r="H21" s="61">
        <f>_xlfn.XLOOKUP(D21, Purchase!E:E, Purchase!I:I, 0, 0, -1) *Product_Master[[#This Row],[Pack Quantity]]</f>
        <v>600</v>
      </c>
      <c r="I21" s="60">
        <v>1000</v>
      </c>
      <c r="J21" s="2">
        <v>50</v>
      </c>
      <c r="K21" s="2">
        <f>SUMIF(Purchase!E:E, C21, Purchase!H:H)</f>
        <v>80</v>
      </c>
      <c r="L21" s="39">
        <f>SUMIFS(Sales!H:H, Sales!E:E, Product_Master[[#This Row],[SKU]])</f>
        <v>0</v>
      </c>
      <c r="M21" s="39">
        <f>SUMIFS(Adjustments!C:C, Adjustments!A:A, Product_Master[[#This Row],[SKU]], Adjustments!D:D, "Adjustment - Add")</f>
        <v>0</v>
      </c>
      <c r="N21" s="39" cm="1">
        <f t="array" ref="N21">SUM(SUMIFS(Adjustments!C:C, Adjustments!A:A, Product_Master[[#This Row],[SKU]], Adjustments!D:D, {"Scrap","Adjustment - Subtract"}))</f>
        <v>0</v>
      </c>
      <c r="O21" s="39">
        <f>J21 + K21 - L21 + Product_Master[[#This Row],[Adjustments (+)]] - Product_Master[[#This Row],[Adjustments (-)]]</f>
        <v>130</v>
      </c>
      <c r="P21" s="2">
        <v>8</v>
      </c>
      <c r="Q21" s="39" t="str">
        <f t="shared" si="0"/>
        <v>In Stock</v>
      </c>
      <c r="R21" s="42">
        <f t="shared" si="2"/>
        <v>0.4</v>
      </c>
      <c r="S21" s="39">
        <f t="shared" si="1"/>
        <v>400</v>
      </c>
      <c r="T21" s="1">
        <v>47212</v>
      </c>
      <c r="U21" s="49">
        <f>Product_Master[[#This Row],[Unit Cost]]*Product_Master[[#This Row],[On Hand]]</f>
        <v>78000</v>
      </c>
    </row>
    <row r="22" spans="1:21">
      <c r="A22" s="107"/>
      <c r="B22" s="2">
        <v>18</v>
      </c>
      <c r="C22" s="2" t="s">
        <v>83</v>
      </c>
      <c r="D22" s="2" t="str">
        <f>MID(LEFT(Product_Master[[#This Row],[SKU]], 7), FIND("-", Product_Master[[#This Row],[SKU]]) - 3, LEN(Product_Master[[#This Row],[SKU]]))</f>
        <v>SKU-016</v>
      </c>
      <c r="E22" s="2" t="s">
        <v>33</v>
      </c>
      <c r="F22" s="2" t="s">
        <v>73</v>
      </c>
      <c r="G22" s="2">
        <v>1</v>
      </c>
      <c r="H22" s="61">
        <f>_xlfn.XLOOKUP(D22, Purchase!E:E, Purchase!I:I, 0, 0, -1) *Product_Master[[#This Row],[Pack Quantity]]</f>
        <v>4330</v>
      </c>
      <c r="I22" s="60">
        <v>5900</v>
      </c>
      <c r="J22" s="2">
        <v>50</v>
      </c>
      <c r="K22" s="2">
        <f>SUMIF(Purchase!E:E, C22, Purchase!H:H)</f>
        <v>6</v>
      </c>
      <c r="L22" s="39">
        <f>SUMIFS(Sales!H:H, Sales!E:E, Product_Master[[#This Row],[SKU]])</f>
        <v>55</v>
      </c>
      <c r="M22" s="39">
        <f>SUMIFS(Adjustments!C:C, Adjustments!A:A, Product_Master[[#This Row],[SKU]], Adjustments!D:D, "Adjustment - Add")</f>
        <v>0</v>
      </c>
      <c r="N22" s="39" cm="1">
        <f t="array" ref="N22">SUM(SUMIFS(Adjustments!C:C, Adjustments!A:A, Product_Master[[#This Row],[SKU]], Adjustments!D:D, {"Scrap","Adjustment - Subtract"}))</f>
        <v>0</v>
      </c>
      <c r="O22" s="39">
        <f>J22 + K22 - L22 + Product_Master[[#This Row],[Adjustments (+)]] - Product_Master[[#This Row],[Adjustments (-)]]</f>
        <v>1</v>
      </c>
      <c r="P22" s="2">
        <v>5</v>
      </c>
      <c r="Q22" s="39" t="str">
        <f t="shared" si="0"/>
        <v>Low Stock</v>
      </c>
      <c r="R22" s="42">
        <f t="shared" si="2"/>
        <v>0.26610169491525426</v>
      </c>
      <c r="S22" s="39">
        <f t="shared" si="1"/>
        <v>1570</v>
      </c>
      <c r="T22" s="1">
        <v>46847</v>
      </c>
      <c r="U22" s="49">
        <f>Product_Master[[#This Row],[Unit Cost]]*Product_Master[[#This Row],[On Hand]]</f>
        <v>4330</v>
      </c>
    </row>
    <row r="23" spans="1:21">
      <c r="A23" s="107"/>
      <c r="B23" s="2">
        <v>19</v>
      </c>
      <c r="C23" s="2" t="s">
        <v>84</v>
      </c>
      <c r="D23" s="2" t="str">
        <f>MID(LEFT(Product_Master[[#This Row],[SKU]], 7), FIND("-", Product_Master[[#This Row],[SKU]]) - 3, LEN(Product_Master[[#This Row],[SKU]]))</f>
        <v>SKU-017</v>
      </c>
      <c r="E23" s="2" t="s">
        <v>34</v>
      </c>
      <c r="F23" s="2" t="s">
        <v>69</v>
      </c>
      <c r="G23" s="2">
        <v>1</v>
      </c>
      <c r="H23" s="61">
        <f>_xlfn.XLOOKUP(D23, Purchase!E:E, Purchase!I:I, 0, 0, -1) *Product_Master[[#This Row],[Pack Quantity]]</f>
        <v>700</v>
      </c>
      <c r="I23" s="60">
        <v>1300</v>
      </c>
      <c r="J23" s="2">
        <v>50</v>
      </c>
      <c r="K23" s="2">
        <f>SUMIF(Purchase!E:E, C23, Purchase!H:H)</f>
        <v>20</v>
      </c>
      <c r="L23" s="39">
        <f>SUMIFS(Sales!H:H, Sales!E:E, Product_Master[[#This Row],[SKU]])</f>
        <v>0</v>
      </c>
      <c r="M23" s="39">
        <f>SUMIFS(Adjustments!C:C, Adjustments!A:A, Product_Master[[#This Row],[SKU]], Adjustments!D:D, "Adjustment - Add")</f>
        <v>0</v>
      </c>
      <c r="N23" s="39" cm="1">
        <f t="array" ref="N23">SUM(SUMIFS(Adjustments!C:C, Adjustments!A:A, Product_Master[[#This Row],[SKU]], Adjustments!D:D, {"Scrap","Adjustment - Subtract"}))</f>
        <v>0</v>
      </c>
      <c r="O23" s="39">
        <f>J23 + K23 - L23 + Product_Master[[#This Row],[Adjustments (+)]] - Product_Master[[#This Row],[Adjustments (-)]]</f>
        <v>70</v>
      </c>
      <c r="P23" s="2">
        <v>7</v>
      </c>
      <c r="Q23" s="39" t="str">
        <f t="shared" si="0"/>
        <v>In Stock</v>
      </c>
      <c r="R23" s="42">
        <f t="shared" si="2"/>
        <v>0.46153846153846156</v>
      </c>
      <c r="S23" s="39">
        <f t="shared" si="1"/>
        <v>600</v>
      </c>
      <c r="T23" s="1">
        <v>46481</v>
      </c>
      <c r="U23" s="49">
        <f>Product_Master[[#This Row],[Unit Cost]]*Product_Master[[#This Row],[On Hand]]</f>
        <v>49000</v>
      </c>
    </row>
    <row r="24" spans="1:21">
      <c r="A24" s="107"/>
      <c r="B24" s="2">
        <v>20</v>
      </c>
      <c r="C24" s="2" t="s">
        <v>85</v>
      </c>
      <c r="D24" s="2" t="str">
        <f>MID(LEFT(Product_Master[[#This Row],[SKU]], 7), FIND("-", Product_Master[[#This Row],[SKU]]) - 3, LEN(Product_Master[[#This Row],[SKU]]))</f>
        <v>SKU-018</v>
      </c>
      <c r="E24" s="2" t="s">
        <v>35</v>
      </c>
      <c r="F24" s="2" t="s">
        <v>71</v>
      </c>
      <c r="G24" s="2">
        <v>1</v>
      </c>
      <c r="H24" s="61">
        <f>_xlfn.XLOOKUP(D24, Purchase!E:E, Purchase!I:I, 0, 0, -1) *Product_Master[[#This Row],[Pack Quantity]]</f>
        <v>6700</v>
      </c>
      <c r="I24" s="60">
        <v>8100</v>
      </c>
      <c r="J24" s="2">
        <v>50</v>
      </c>
      <c r="K24" s="2">
        <f>SUMIF(Purchase!E:E, C24, Purchase!H:H)</f>
        <v>40</v>
      </c>
      <c r="L24" s="39">
        <f>SUMIFS(Sales!H:H, Sales!E:E, Product_Master[[#This Row],[SKU]])</f>
        <v>3</v>
      </c>
      <c r="M24" s="39">
        <f>SUMIFS(Adjustments!C:C, Adjustments!A:A, Product_Master[[#This Row],[SKU]], Adjustments!D:D, "Adjustment - Add")</f>
        <v>0</v>
      </c>
      <c r="N24" s="39" cm="1">
        <f t="array" ref="N24">SUM(SUMIFS(Adjustments!C:C, Adjustments!A:A, Product_Master[[#This Row],[SKU]], Adjustments!D:D, {"Scrap","Adjustment - Subtract"}))</f>
        <v>0</v>
      </c>
      <c r="O24" s="39">
        <f>J24 + K24 - L24 + Product_Master[[#This Row],[Adjustments (+)]] - Product_Master[[#This Row],[Adjustments (-)]]</f>
        <v>87</v>
      </c>
      <c r="P24" s="2">
        <v>11</v>
      </c>
      <c r="Q24" s="39" t="str">
        <f t="shared" si="0"/>
        <v>In Stock</v>
      </c>
      <c r="R24" s="42">
        <f t="shared" si="2"/>
        <v>0.1728395061728395</v>
      </c>
      <c r="S24" s="39">
        <f t="shared" si="1"/>
        <v>1400</v>
      </c>
      <c r="T24" s="1">
        <v>46335</v>
      </c>
      <c r="U24" s="49">
        <f>Product_Master[[#This Row],[Unit Cost]]*Product_Master[[#This Row],[On Hand]]</f>
        <v>582900</v>
      </c>
    </row>
    <row r="25" spans="1:21">
      <c r="A25" s="107"/>
      <c r="B25" s="2">
        <v>21</v>
      </c>
      <c r="C25" s="2" t="s">
        <v>86</v>
      </c>
      <c r="D25" s="2" t="str">
        <f>MID(LEFT(Product_Master[[#This Row],[SKU]], 7), FIND("-", Product_Master[[#This Row],[SKU]]) - 3, LEN(Product_Master[[#This Row],[SKU]]))</f>
        <v>SKU-019</v>
      </c>
      <c r="E25" s="2" t="s">
        <v>36</v>
      </c>
      <c r="F25" s="2" t="s">
        <v>67</v>
      </c>
      <c r="G25" s="2">
        <v>1</v>
      </c>
      <c r="H25" s="61">
        <f>_xlfn.XLOOKUP(D25, Purchase!E:E, Purchase!I:I, 0, 0, -1) *Product_Master[[#This Row],[Pack Quantity]]</f>
        <v>5000</v>
      </c>
      <c r="I25" s="60">
        <v>6500</v>
      </c>
      <c r="J25" s="2">
        <v>50</v>
      </c>
      <c r="K25" s="2">
        <f>SUMIF(Purchase!E:E, C25, Purchase!H:H)</f>
        <v>10</v>
      </c>
      <c r="L25" s="39">
        <f>SUMIFS(Sales!H:H, Sales!E:E, Product_Master[[#This Row],[SKU]])</f>
        <v>2</v>
      </c>
      <c r="M25" s="39">
        <f>SUMIFS(Adjustments!C:C, Adjustments!A:A, Product_Master[[#This Row],[SKU]], Adjustments!D:D, "Adjustment - Add")</f>
        <v>0</v>
      </c>
      <c r="N25" s="39" cm="1">
        <f t="array" ref="N25">SUM(SUMIFS(Adjustments!C:C, Adjustments!A:A, Product_Master[[#This Row],[SKU]], Adjustments!D:D, {"Scrap","Adjustment - Subtract"}))</f>
        <v>0</v>
      </c>
      <c r="O25" s="39">
        <f>J25 + K25 - L25 + Product_Master[[#This Row],[Adjustments (+)]] - Product_Master[[#This Row],[Adjustments (-)]]</f>
        <v>58</v>
      </c>
      <c r="P25" s="2">
        <v>5</v>
      </c>
      <c r="Q25" s="39" t="str">
        <f t="shared" si="0"/>
        <v>In Stock</v>
      </c>
      <c r="R25" s="42">
        <f t="shared" si="2"/>
        <v>0.23076923076923078</v>
      </c>
      <c r="S25" s="39">
        <f t="shared" si="1"/>
        <v>1500</v>
      </c>
      <c r="T25" s="1">
        <v>46358</v>
      </c>
      <c r="U25" s="49">
        <f>Product_Master[[#This Row],[Unit Cost]]*Product_Master[[#This Row],[On Hand]]</f>
        <v>290000</v>
      </c>
    </row>
    <row r="26" spans="1:21">
      <c r="A26" s="107"/>
      <c r="B26">
        <v>22</v>
      </c>
      <c r="C26" t="s">
        <v>87</v>
      </c>
      <c r="D26" t="str">
        <f>MID(LEFT(Product_Master[[#This Row],[SKU]], 7), FIND("-", Product_Master[[#This Row],[SKU]]) - 3, LEN(Product_Master[[#This Row],[SKU]]))</f>
        <v>SKU-019</v>
      </c>
      <c r="E26" t="s">
        <v>37</v>
      </c>
      <c r="F26" t="s">
        <v>67</v>
      </c>
      <c r="G26">
        <v>20</v>
      </c>
      <c r="H26" s="61">
        <f>_xlfn.XLOOKUP(D26, Purchase!E:E, Purchase!I:I, 0, 0, -1) *Product_Master[[#This Row],[Pack Quantity]]</f>
        <v>100000</v>
      </c>
      <c r="I26" s="58">
        <v>150000</v>
      </c>
      <c r="J26">
        <v>0</v>
      </c>
      <c r="K26" s="2">
        <f>SUMIF(Purchase!E:E, C26, Purchase!H:H)</f>
        <v>0</v>
      </c>
      <c r="L26" s="13">
        <f>SUMIFS(Sales!H:H, Sales!E:E, Product_Master[[#This Row],[SKU]])</f>
        <v>0</v>
      </c>
      <c r="M26" s="13">
        <f>SUMIFS(Adjustments!C:C, Adjustments!A:A, Product_Master[[#This Row],[SKU]], Adjustments!D:D, "Adjustment - Add")</f>
        <v>0</v>
      </c>
      <c r="N26" s="13" cm="1">
        <f t="array" ref="N26">SUM(SUMIFS(Adjustments!C:C, Adjustments!A:A, Product_Master[[#This Row],[SKU]], Adjustments!D:D, {"Scrap","Adjustment - Subtract"}))</f>
        <v>0</v>
      </c>
      <c r="O26" s="13">
        <f>J26 + K26 - L26 + Product_Master[[#This Row],[Adjustments (+)]] - Product_Master[[#This Row],[Adjustments (-)]]</f>
        <v>0</v>
      </c>
      <c r="P26">
        <v>0</v>
      </c>
      <c r="Q26" s="13" t="str">
        <f t="shared" si="0"/>
        <v>In Stock</v>
      </c>
      <c r="R26" s="42">
        <f t="shared" si="2"/>
        <v>0.33333333333333331</v>
      </c>
      <c r="S26" s="13">
        <f>IF(OR(ISBLANK(H26), ISBLANK(I26)), "-", I26 - H26)</f>
        <v>50000</v>
      </c>
      <c r="T26" s="104">
        <v>46910</v>
      </c>
      <c r="U26" s="48">
        <f>Product_Master[[#This Row],[Unit Cost]]*Product_Master[[#This Row],[On Hand]]</f>
        <v>0</v>
      </c>
    </row>
    <row r="27" spans="1:21">
      <c r="A27" s="107"/>
    </row>
    <row r="28" spans="1:21">
      <c r="A28" s="107"/>
    </row>
    <row r="29" spans="1:21">
      <c r="A29" s="107"/>
    </row>
    <row r="30" spans="1:21">
      <c r="A30" s="107"/>
    </row>
  </sheetData>
  <mergeCells count="3">
    <mergeCell ref="C2:E2"/>
    <mergeCell ref="K1:L1"/>
    <mergeCell ref="K2:L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293B5F-5103-4131-B713-39DB26138D37}">
          <x14:formula1>
            <xm:f>Back_End!$A:$A</xm:f>
          </x14:formula1>
          <xm:sqref>F5:F26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1522-8CF0-429A-8CCD-683BF703587F}">
  <dimension ref="B1:N23"/>
  <sheetViews>
    <sheetView showGridLines="0" workbookViewId="0">
      <selection activeCell="M21" sqref="M21"/>
    </sheetView>
  </sheetViews>
  <sheetFormatPr defaultRowHeight="15"/>
  <cols>
    <col min="1" max="1" width="6.28515625" customWidth="1"/>
    <col min="2" max="2" width="10.85546875" bestFit="1" customWidth="1"/>
    <col min="3" max="3" width="17.85546875" customWidth="1"/>
    <col min="4" max="4" width="25" customWidth="1"/>
    <col min="5" max="5" width="11" customWidth="1"/>
    <col min="6" max="6" width="15.85546875" bestFit="1" customWidth="1"/>
    <col min="7" max="7" width="11.28515625" customWidth="1"/>
    <col min="8" max="8" width="12" customWidth="1"/>
    <col min="9" max="9" width="16.7109375" style="58" customWidth="1"/>
    <col min="10" max="10" width="18.42578125" style="58" customWidth="1"/>
    <col min="11" max="11" width="14.28515625" style="58" customWidth="1"/>
    <col min="12" max="13" width="16.5703125" style="58" customWidth="1"/>
    <col min="14" max="14" width="14.28515625" customWidth="1"/>
  </cols>
  <sheetData>
    <row r="1" spans="2:14" ht="42.75" customHeight="1">
      <c r="C1" s="116" t="s">
        <v>88</v>
      </c>
      <c r="D1" s="116"/>
    </row>
    <row r="2" spans="2:14" ht="19.5" customHeight="1">
      <c r="B2" t="s">
        <v>5</v>
      </c>
      <c r="C2" t="s">
        <v>89</v>
      </c>
      <c r="D2" t="s">
        <v>90</v>
      </c>
      <c r="E2" t="s">
        <v>45</v>
      </c>
      <c r="F2" t="s">
        <v>13</v>
      </c>
      <c r="G2" t="s">
        <v>47</v>
      </c>
      <c r="H2" t="s">
        <v>91</v>
      </c>
      <c r="I2" s="58" t="s">
        <v>49</v>
      </c>
      <c r="J2" s="58" t="s">
        <v>92</v>
      </c>
      <c r="K2" s="58" t="s">
        <v>93</v>
      </c>
      <c r="L2" s="58" t="s">
        <v>94</v>
      </c>
      <c r="M2" s="58" t="s">
        <v>95</v>
      </c>
      <c r="N2" t="s">
        <v>96</v>
      </c>
    </row>
    <row r="3" spans="2:14">
      <c r="B3" s="57">
        <v>46179</v>
      </c>
      <c r="C3" s="107" t="s">
        <v>97</v>
      </c>
      <c r="D3" s="53" t="s">
        <v>98</v>
      </c>
      <c r="E3" t="s">
        <v>60</v>
      </c>
      <c r="F3" t="str">
        <f>_xlfn.XLOOKUP(E3, Product_Master[SKU], Product_Master[Product Name], "Unknown SKU")</f>
        <v>P1</v>
      </c>
      <c r="G3" t="str">
        <f>_xlfn.XLOOKUP(E3, Product_Master[SKU], Product_Master[Category], "Unknown SKU")</f>
        <v>Beverage</v>
      </c>
      <c r="H3">
        <v>10</v>
      </c>
      <c r="I3" s="58">
        <v>2000</v>
      </c>
      <c r="J3" s="58">
        <f>Table8[[#This Row],[Unit Cost]]*Table8[[#This Row],[Quantity]]</f>
        <v>20000</v>
      </c>
      <c r="K3" s="58">
        <v>2000</v>
      </c>
      <c r="L3" s="58">
        <f>Table8[[#This Row],[Total purcahse]]-Table8[[#This Row],[Paid]]</f>
        <v>18000</v>
      </c>
      <c r="M3" s="104">
        <v>46240</v>
      </c>
      <c r="N3" t="s">
        <v>99</v>
      </c>
    </row>
    <row r="4" spans="2:14">
      <c r="B4" s="57">
        <v>46179</v>
      </c>
      <c r="C4" s="107" t="s">
        <v>100</v>
      </c>
      <c r="D4" s="53" t="s">
        <v>98</v>
      </c>
      <c r="E4" t="s">
        <v>64</v>
      </c>
      <c r="F4" t="str">
        <f>_xlfn.XLOOKUP(E4, Product_Master[SKU], Product_Master[Product Name], "Unknown SKU")</f>
        <v>P2</v>
      </c>
      <c r="G4" t="str">
        <f>_xlfn.XLOOKUP(E4, Product_Master[SKU], Product_Master[Category], "Unknown SKU")</f>
        <v>Stationary</v>
      </c>
      <c r="H4">
        <v>15</v>
      </c>
      <c r="I4" s="58">
        <v>1400</v>
      </c>
      <c r="J4" s="58">
        <f>Table8[[#This Row],[Unit Cost]]*Table8[[#This Row],[Quantity]]</f>
        <v>21000</v>
      </c>
      <c r="K4" s="58">
        <v>21000</v>
      </c>
      <c r="L4" s="58">
        <f>Table8[[#This Row],[Total purcahse]]-Table8[[#This Row],[Paid]]</f>
        <v>0</v>
      </c>
      <c r="M4" s="104"/>
      <c r="N4" t="s">
        <v>99</v>
      </c>
    </row>
    <row r="5" spans="2:14">
      <c r="B5" s="57">
        <v>46179</v>
      </c>
      <c r="C5" s="107" t="s">
        <v>101</v>
      </c>
      <c r="D5" s="53" t="s">
        <v>98</v>
      </c>
      <c r="E5" t="s">
        <v>66</v>
      </c>
      <c r="F5" t="str">
        <f>_xlfn.XLOOKUP(E5, Product_Master[SKU], Product_Master[Product Name], "Unknown SKU")</f>
        <v>P3</v>
      </c>
      <c r="G5" t="str">
        <f>_xlfn.XLOOKUP(E5, Product_Master[SKU], Product_Master[Category], "Unknown SKU")</f>
        <v>Household</v>
      </c>
      <c r="H5">
        <v>24</v>
      </c>
      <c r="I5" s="58">
        <v>500</v>
      </c>
      <c r="J5" s="58">
        <f>Table8[[#This Row],[Unit Cost]]*Table8[[#This Row],[Quantity]]</f>
        <v>12000</v>
      </c>
      <c r="K5" s="58">
        <v>10000</v>
      </c>
      <c r="L5" s="58">
        <f>Table8[[#This Row],[Total purcahse]]-Table8[[#This Row],[Paid]]</f>
        <v>2000</v>
      </c>
      <c r="M5" s="104">
        <v>46242</v>
      </c>
      <c r="N5" t="s">
        <v>99</v>
      </c>
    </row>
    <row r="6" spans="2:14">
      <c r="B6" s="57">
        <v>46179</v>
      </c>
      <c r="C6" s="107" t="s">
        <v>102</v>
      </c>
      <c r="D6" s="53" t="s">
        <v>98</v>
      </c>
      <c r="E6" t="s">
        <v>75</v>
      </c>
      <c r="F6" t="str">
        <f>_xlfn.XLOOKUP(E6, Product_Master[SKU], Product_Master[Product Name], "Unknown SKU")</f>
        <v>P8</v>
      </c>
      <c r="G6" t="str">
        <f>_xlfn.XLOOKUP(E6, Product_Master[SKU], Product_Master[Category], "Unknown SKU")</f>
        <v>Stationary</v>
      </c>
      <c r="H6">
        <v>12</v>
      </c>
      <c r="I6" s="58">
        <v>900</v>
      </c>
      <c r="J6" s="58">
        <f>Table8[[#This Row],[Unit Cost]]*Table8[[#This Row],[Quantity]]</f>
        <v>10800</v>
      </c>
      <c r="K6" s="58">
        <v>10800</v>
      </c>
      <c r="L6" s="58">
        <f>Table8[[#This Row],[Total purcahse]]-Table8[[#This Row],[Paid]]</f>
        <v>0</v>
      </c>
      <c r="M6" s="104"/>
      <c r="N6" t="s">
        <v>99</v>
      </c>
    </row>
    <row r="7" spans="2:14">
      <c r="B7" s="57">
        <v>46179</v>
      </c>
      <c r="C7" s="107" t="s">
        <v>103</v>
      </c>
      <c r="D7" s="53" t="s">
        <v>98</v>
      </c>
      <c r="E7" t="s">
        <v>78</v>
      </c>
      <c r="F7" t="str">
        <f>_xlfn.XLOOKUP(E7, Product_Master[SKU], Product_Master[Product Name], "Unknown SKU")</f>
        <v>P11</v>
      </c>
      <c r="G7" t="str">
        <f>_xlfn.XLOOKUP(E7, Product_Master[SKU], Product_Master[Category], "Unknown SKU")</f>
        <v>Pasteries</v>
      </c>
      <c r="H7">
        <v>36</v>
      </c>
      <c r="I7" s="58">
        <v>2500</v>
      </c>
      <c r="J7" s="58">
        <f>Table8[[#This Row],[Unit Cost]]*Table8[[#This Row],[Quantity]]</f>
        <v>90000</v>
      </c>
      <c r="K7" s="58">
        <v>90000</v>
      </c>
      <c r="L7" s="58">
        <f>Table8[[#This Row],[Total purcahse]]-Table8[[#This Row],[Paid]]</f>
        <v>0</v>
      </c>
      <c r="N7" t="s">
        <v>99</v>
      </c>
    </row>
    <row r="8" spans="2:14">
      <c r="B8" s="57">
        <v>46179</v>
      </c>
      <c r="C8" s="107" t="s">
        <v>104</v>
      </c>
      <c r="D8" t="s">
        <v>105</v>
      </c>
      <c r="E8" t="s">
        <v>74</v>
      </c>
      <c r="F8" t="str">
        <f>_xlfn.XLOOKUP(E8, Product_Master[SKU], Product_Master[Product Name], "Unknown SKU")</f>
        <v>P7</v>
      </c>
      <c r="G8" t="str">
        <f>_xlfn.XLOOKUP(E8, Product_Master[SKU], Product_Master[Category], "Unknown SKU")</f>
        <v>Household</v>
      </c>
      <c r="H8">
        <v>90</v>
      </c>
      <c r="I8" s="58">
        <v>5000</v>
      </c>
      <c r="J8" s="58">
        <f>Table8[[#This Row],[Unit Cost]]*Table8[[#This Row],[Quantity]]</f>
        <v>450000</v>
      </c>
      <c r="L8" s="58">
        <f>Table8[[#This Row],[Total purcahse]]-Table8[[#This Row],[Paid]]</f>
        <v>450000</v>
      </c>
      <c r="M8" s="104">
        <v>46234</v>
      </c>
      <c r="N8" t="s">
        <v>99</v>
      </c>
    </row>
    <row r="9" spans="2:14">
      <c r="B9" s="57">
        <v>46179</v>
      </c>
      <c r="C9" s="107" t="s">
        <v>106</v>
      </c>
      <c r="D9" t="s">
        <v>105</v>
      </c>
      <c r="E9" t="s">
        <v>68</v>
      </c>
      <c r="F9" t="str">
        <f>_xlfn.XLOOKUP(E9, Product_Master[SKU], Product_Master[Product Name], "Unknown SKU")</f>
        <v>P4</v>
      </c>
      <c r="G9" t="str">
        <f>_xlfn.XLOOKUP(E9, Product_Master[SKU], Product_Master[Category], "Unknown SKU")</f>
        <v>Sanitary</v>
      </c>
      <c r="H9">
        <v>48</v>
      </c>
      <c r="I9" s="58">
        <v>4000</v>
      </c>
      <c r="J9" s="58">
        <f>Table8[[#This Row],[Unit Cost]]*Table8[[#This Row],[Quantity]]</f>
        <v>192000</v>
      </c>
      <c r="K9" s="58">
        <v>96000</v>
      </c>
      <c r="L9" s="58">
        <f>Table8[[#This Row],[Total purcahse]]-Table8[[#This Row],[Paid]]</f>
        <v>96000</v>
      </c>
      <c r="M9" s="104">
        <v>46210</v>
      </c>
      <c r="N9" t="s">
        <v>99</v>
      </c>
    </row>
    <row r="10" spans="2:14">
      <c r="B10" s="57">
        <v>46179</v>
      </c>
      <c r="C10" s="107" t="s">
        <v>107</v>
      </c>
      <c r="D10" t="s">
        <v>105</v>
      </c>
      <c r="E10" t="s">
        <v>70</v>
      </c>
      <c r="F10" t="str">
        <f>_xlfn.XLOOKUP(E10, Product_Master[SKU], Product_Master[Product Name], "Unknown SKU")</f>
        <v>P5</v>
      </c>
      <c r="G10" t="str">
        <f>_xlfn.XLOOKUP(E10, Product_Master[SKU], Product_Master[Category], "Unknown SKU")</f>
        <v>Toiletry</v>
      </c>
      <c r="H10">
        <v>12</v>
      </c>
      <c r="I10" s="58">
        <v>3500</v>
      </c>
      <c r="J10" s="58">
        <f>Table8[[#This Row],[Unit Cost]]*Table8[[#This Row],[Quantity]]</f>
        <v>42000</v>
      </c>
      <c r="K10" s="58">
        <v>42000</v>
      </c>
      <c r="L10" s="58">
        <f>Table8[[#This Row],[Total purcahse]]-Table8[[#This Row],[Paid]]</f>
        <v>0</v>
      </c>
      <c r="N10" t="s">
        <v>99</v>
      </c>
    </row>
    <row r="11" spans="2:14">
      <c r="B11" s="57">
        <v>46179</v>
      </c>
      <c r="C11" s="107" t="s">
        <v>108</v>
      </c>
      <c r="D11" t="s">
        <v>105</v>
      </c>
      <c r="E11" t="s">
        <v>78</v>
      </c>
      <c r="F11" t="str">
        <f>_xlfn.XLOOKUP(E11, Product_Master[SKU], Product_Master[Product Name], "Unknown SKU")</f>
        <v>P11</v>
      </c>
      <c r="G11" t="str">
        <f>_xlfn.XLOOKUP(E11, Product_Master[SKU], Product_Master[Category], "Unknown SKU")</f>
        <v>Pasteries</v>
      </c>
      <c r="H11">
        <v>36</v>
      </c>
      <c r="I11" s="58">
        <v>2000</v>
      </c>
      <c r="J11" s="58">
        <f>Table8[[#This Row],[Unit Cost]]*Table8[[#This Row],[Quantity]]</f>
        <v>72000</v>
      </c>
      <c r="K11" s="58">
        <v>30000</v>
      </c>
      <c r="L11" s="58">
        <f>Table8[[#This Row],[Total purcahse]]-Table8[[#This Row],[Paid]]</f>
        <v>42000</v>
      </c>
      <c r="M11" s="104">
        <v>46209</v>
      </c>
      <c r="N11" t="s">
        <v>99</v>
      </c>
    </row>
    <row r="12" spans="2:14">
      <c r="B12" s="57">
        <v>46179</v>
      </c>
      <c r="C12" s="107" t="s">
        <v>109</v>
      </c>
      <c r="D12" t="s">
        <v>105</v>
      </c>
      <c r="E12" t="s">
        <v>82</v>
      </c>
      <c r="F12" t="str">
        <f>_xlfn.XLOOKUP(E12, Product_Master[SKU], Product_Master[Product Name], "Unknown SKU")</f>
        <v>P15</v>
      </c>
      <c r="G12" t="str">
        <f>_xlfn.XLOOKUP(E12, Product_Master[SKU], Product_Master[Category], "Unknown SKU")</f>
        <v>Stationary</v>
      </c>
      <c r="H12">
        <v>80</v>
      </c>
      <c r="I12" s="58">
        <v>600</v>
      </c>
      <c r="J12" s="58">
        <f>Table8[[#This Row],[Unit Cost]]*Table8[[#This Row],[Quantity]]</f>
        <v>48000</v>
      </c>
      <c r="K12" s="58">
        <v>48000</v>
      </c>
      <c r="L12" s="58">
        <f>Table8[[#This Row],[Total purcahse]]-Table8[[#This Row],[Paid]]</f>
        <v>0</v>
      </c>
      <c r="N12" t="s">
        <v>99</v>
      </c>
    </row>
    <row r="13" spans="2:14">
      <c r="B13" s="57">
        <v>46179</v>
      </c>
      <c r="C13" s="107" t="s">
        <v>110</v>
      </c>
      <c r="D13" t="s">
        <v>105</v>
      </c>
      <c r="E13" t="s">
        <v>85</v>
      </c>
      <c r="F13" t="str">
        <f>_xlfn.XLOOKUP(E13, Product_Master[SKU], Product_Master[Product Name], "Unknown SKU")</f>
        <v>P18</v>
      </c>
      <c r="G13" t="str">
        <f>_xlfn.XLOOKUP(E13, Product_Master[SKU], Product_Master[Category], "Unknown SKU")</f>
        <v>Toiletry</v>
      </c>
      <c r="H13">
        <v>40</v>
      </c>
      <c r="I13" s="58">
        <v>6700</v>
      </c>
      <c r="J13" s="58">
        <f>Table8[[#This Row],[Unit Cost]]*Table8[[#This Row],[Quantity]]</f>
        <v>268000</v>
      </c>
      <c r="K13" s="58">
        <v>10000</v>
      </c>
      <c r="L13" s="58">
        <f>Table8[[#This Row],[Total purcahse]]-Table8[[#This Row],[Paid]]</f>
        <v>258000</v>
      </c>
      <c r="M13" s="104">
        <v>46264</v>
      </c>
      <c r="N13" t="s">
        <v>99</v>
      </c>
    </row>
    <row r="14" spans="2:14">
      <c r="B14" s="57">
        <v>46179</v>
      </c>
      <c r="C14" s="107" t="s">
        <v>111</v>
      </c>
      <c r="D14" t="s">
        <v>105</v>
      </c>
      <c r="E14" t="s">
        <v>72</v>
      </c>
      <c r="F14" t="str">
        <f>_xlfn.XLOOKUP(E14, Product_Master[SKU], Product_Master[Product Name], "Unknown SKU")</f>
        <v>P6</v>
      </c>
      <c r="G14" t="str">
        <f>_xlfn.XLOOKUP(E14, Product_Master[SKU], Product_Master[Category], "Unknown SKU")</f>
        <v>Pasteries</v>
      </c>
      <c r="H14">
        <v>20</v>
      </c>
      <c r="I14" s="58">
        <v>5900</v>
      </c>
      <c r="J14" s="58">
        <f>Table8[[#This Row],[Unit Cost]]*Table8[[#This Row],[Quantity]]</f>
        <v>118000</v>
      </c>
      <c r="K14" s="58">
        <v>50000</v>
      </c>
      <c r="L14" s="58">
        <f>Table8[[#This Row],[Total purcahse]]-Table8[[#This Row],[Paid]]</f>
        <v>68000</v>
      </c>
      <c r="M14" s="104">
        <v>46210</v>
      </c>
      <c r="N14" t="s">
        <v>99</v>
      </c>
    </row>
    <row r="15" spans="2:14">
      <c r="B15" s="57">
        <v>46180</v>
      </c>
      <c r="C15" s="107" t="s">
        <v>112</v>
      </c>
      <c r="D15" t="s">
        <v>113</v>
      </c>
      <c r="E15" t="s">
        <v>64</v>
      </c>
      <c r="F15" t="str">
        <f>_xlfn.XLOOKUP(E15, Product_Master[SKU], Product_Master[Product Name], "Unknown SKU")</f>
        <v>P2</v>
      </c>
      <c r="G15" t="str">
        <f>_xlfn.XLOOKUP(E15, Product_Master[SKU], Product_Master[Category], "Unknown SKU")</f>
        <v>Stationary</v>
      </c>
      <c r="H15">
        <v>60</v>
      </c>
      <c r="I15" s="58">
        <v>1200</v>
      </c>
      <c r="J15" s="58">
        <f>Table8[[#This Row],[Unit Cost]]*Table8[[#This Row],[Quantity]]</f>
        <v>72000</v>
      </c>
      <c r="K15" s="58">
        <v>40000</v>
      </c>
      <c r="L15" s="58">
        <f>Table8[[#This Row],[Total purcahse]]-Table8[[#This Row],[Paid]]</f>
        <v>32000</v>
      </c>
      <c r="M15" s="104">
        <v>46210</v>
      </c>
      <c r="N15" t="s">
        <v>99</v>
      </c>
    </row>
    <row r="16" spans="2:14">
      <c r="B16" s="57">
        <v>46180</v>
      </c>
      <c r="C16" s="107" t="s">
        <v>114</v>
      </c>
      <c r="D16" t="s">
        <v>113</v>
      </c>
      <c r="E16" t="s">
        <v>76</v>
      </c>
      <c r="F16" t="str">
        <f>_xlfn.XLOOKUP(E16, Product_Master[SKU], Product_Master[Product Name], "Unknown SKU")</f>
        <v>P9</v>
      </c>
      <c r="G16" t="str">
        <f>_xlfn.XLOOKUP(E16, Product_Master[SKU], Product_Master[Category], "Unknown SKU")</f>
        <v>Beverage</v>
      </c>
      <c r="H16">
        <v>48</v>
      </c>
      <c r="I16" s="58">
        <v>540</v>
      </c>
      <c r="J16" s="58">
        <f>Table8[[#This Row],[Unit Cost]]*Table8[[#This Row],[Quantity]]</f>
        <v>25920</v>
      </c>
      <c r="K16" s="58">
        <v>25920</v>
      </c>
      <c r="L16" s="58">
        <f>Table8[[#This Row],[Total purcahse]]-Table8[[#This Row],[Paid]]</f>
        <v>0</v>
      </c>
      <c r="N16" t="s">
        <v>99</v>
      </c>
    </row>
    <row r="17" spans="2:14">
      <c r="B17" s="57">
        <v>46180</v>
      </c>
      <c r="C17" s="107" t="s">
        <v>115</v>
      </c>
      <c r="D17" t="s">
        <v>113</v>
      </c>
      <c r="E17" t="s">
        <v>77</v>
      </c>
      <c r="F17" t="str">
        <f>_xlfn.XLOOKUP(E17, Product_Master[SKU], Product_Master[Product Name], "Unknown SKU")</f>
        <v>P10</v>
      </c>
      <c r="G17" t="str">
        <f>_xlfn.XLOOKUP(E17, Product_Master[SKU], Product_Master[Category], "Unknown SKU")</f>
        <v>Sanitary</v>
      </c>
      <c r="H17">
        <v>50</v>
      </c>
      <c r="I17" s="58">
        <v>9700</v>
      </c>
      <c r="J17" s="58">
        <f>Table8[[#This Row],[Unit Cost]]*Table8[[#This Row],[Quantity]]</f>
        <v>485000</v>
      </c>
      <c r="K17" s="58">
        <v>15000</v>
      </c>
      <c r="L17" s="58">
        <f>Table8[[#This Row],[Total purcahse]]-Table8[[#This Row],[Paid]]</f>
        <v>470000</v>
      </c>
      <c r="M17" s="104">
        <v>46271</v>
      </c>
      <c r="N17" t="s">
        <v>99</v>
      </c>
    </row>
    <row r="18" spans="2:14">
      <c r="B18" s="57">
        <v>46180</v>
      </c>
      <c r="C18" s="107" t="s">
        <v>116</v>
      </c>
      <c r="D18" t="s">
        <v>113</v>
      </c>
      <c r="E18" t="s">
        <v>80</v>
      </c>
      <c r="F18" s="13" t="str">
        <f>_xlfn.XLOOKUP(E18, Product_Master[SKU], Product_Master[Product Name], "Unknown SKU")</f>
        <v>P13</v>
      </c>
      <c r="G18" s="13" t="str">
        <f>_xlfn.XLOOKUP(E18, Product_Master[SKU], Product_Master[Category], "Unknown SKU")</f>
        <v>Beverage</v>
      </c>
      <c r="H18">
        <v>12</v>
      </c>
      <c r="I18" s="58">
        <v>650</v>
      </c>
      <c r="J18" s="58">
        <f>Table8[[#This Row],[Unit Cost]]*Table8[[#This Row],[Quantity]]</f>
        <v>7800</v>
      </c>
      <c r="K18" s="58">
        <v>7800</v>
      </c>
      <c r="L18" s="58">
        <f>Table8[[#This Row],[Total purcahse]]-Table8[[#This Row],[Paid]]</f>
        <v>0</v>
      </c>
      <c r="N18" t="s">
        <v>99</v>
      </c>
    </row>
    <row r="19" spans="2:14">
      <c r="B19" s="57">
        <v>46180</v>
      </c>
      <c r="C19" s="107" t="s">
        <v>117</v>
      </c>
      <c r="D19" t="s">
        <v>118</v>
      </c>
      <c r="E19" t="s">
        <v>83</v>
      </c>
      <c r="F19" s="13" t="str">
        <f>_xlfn.XLOOKUP(E19, Product_Master[SKU], Product_Master[Product Name], "Unknown SKU")</f>
        <v>P16</v>
      </c>
      <c r="G19" s="13" t="str">
        <f>_xlfn.XLOOKUP(E19, Product_Master[SKU], Product_Master[Category], "Unknown SKU")</f>
        <v>Pasteries</v>
      </c>
      <c r="H19">
        <v>6</v>
      </c>
      <c r="I19" s="58">
        <v>4330</v>
      </c>
      <c r="J19" s="58">
        <f>Table8[[#This Row],[Unit Cost]]*Table8[[#This Row],[Quantity]]</f>
        <v>25980</v>
      </c>
      <c r="K19" s="58">
        <v>25980</v>
      </c>
      <c r="L19" s="58">
        <f>Table8[[#This Row],[Total purcahse]]-Table8[[#This Row],[Paid]]</f>
        <v>0</v>
      </c>
      <c r="N19" t="s">
        <v>99</v>
      </c>
    </row>
    <row r="20" spans="2:14">
      <c r="B20" s="57">
        <v>46180</v>
      </c>
      <c r="C20" s="107" t="s">
        <v>119</v>
      </c>
      <c r="D20" t="s">
        <v>118</v>
      </c>
      <c r="E20" t="s">
        <v>79</v>
      </c>
      <c r="F20" s="13" t="str">
        <f>_xlfn.XLOOKUP(E20, Product_Master[SKU], Product_Master[Product Name], "Unknown SKU")</f>
        <v>P12</v>
      </c>
      <c r="G20" s="13" t="str">
        <f>_xlfn.XLOOKUP(E20, Product_Master[SKU], Product_Master[Category], "Unknown SKU")</f>
        <v>Stationary</v>
      </c>
      <c r="H20">
        <v>30</v>
      </c>
      <c r="I20" s="58">
        <v>4400</v>
      </c>
      <c r="J20" s="58">
        <f>Table8[[#This Row],[Unit Cost]]*Table8[[#This Row],[Quantity]]</f>
        <v>132000</v>
      </c>
      <c r="K20" s="58">
        <v>10000</v>
      </c>
      <c r="L20" s="58">
        <f>Table8[[#This Row],[Total purcahse]]-Table8[[#This Row],[Paid]]</f>
        <v>122000</v>
      </c>
      <c r="M20" s="104">
        <v>46285</v>
      </c>
      <c r="N20" t="s">
        <v>99</v>
      </c>
    </row>
    <row r="21" spans="2:14">
      <c r="B21" s="57">
        <v>46180</v>
      </c>
      <c r="C21" s="107" t="s">
        <v>120</v>
      </c>
      <c r="D21" t="s">
        <v>118</v>
      </c>
      <c r="E21" t="s">
        <v>81</v>
      </c>
      <c r="F21" s="13" t="str">
        <f>_xlfn.XLOOKUP(E21, Product_Master[SKU], Product_Master[Product Name], "Unknown SKU")</f>
        <v>P14</v>
      </c>
      <c r="G21" s="13" t="str">
        <f>_xlfn.XLOOKUP(E21, Product_Master[SKU], Product_Master[Category], "Unknown SKU")</f>
        <v>Toiletry</v>
      </c>
      <c r="H21">
        <v>14</v>
      </c>
      <c r="I21" s="58">
        <v>260</v>
      </c>
      <c r="J21" s="58">
        <f>Table8[[#This Row],[Unit Cost]]*Table8[[#This Row],[Quantity]]</f>
        <v>3640</v>
      </c>
      <c r="K21" s="58">
        <v>3640</v>
      </c>
      <c r="L21" s="58">
        <f>Table8[[#This Row],[Total purcahse]]-Table8[[#This Row],[Paid]]</f>
        <v>0</v>
      </c>
      <c r="N21" t="s">
        <v>99</v>
      </c>
    </row>
    <row r="22" spans="2:14">
      <c r="B22" s="57">
        <v>46180</v>
      </c>
      <c r="C22" s="107" t="s">
        <v>121</v>
      </c>
      <c r="D22" t="s">
        <v>118</v>
      </c>
      <c r="E22" t="s">
        <v>84</v>
      </c>
      <c r="F22" s="13" t="str">
        <f>_xlfn.XLOOKUP(E22, Product_Master[SKU], Product_Master[Product Name], "Unknown SKU")</f>
        <v>P17</v>
      </c>
      <c r="G22" s="13" t="str">
        <f>_xlfn.XLOOKUP(E22, Product_Master[SKU], Product_Master[Category], "Unknown SKU")</f>
        <v>Sanitary</v>
      </c>
      <c r="H22">
        <v>20</v>
      </c>
      <c r="I22" s="58">
        <v>700</v>
      </c>
      <c r="J22" s="58">
        <f>Table8[[#This Row],[Unit Cost]]*Table8[[#This Row],[Quantity]]</f>
        <v>14000</v>
      </c>
      <c r="K22" s="58">
        <v>14000</v>
      </c>
      <c r="L22" s="58">
        <f>Table8[[#This Row],[Total purcahse]]-Table8[[#This Row],[Paid]]</f>
        <v>0</v>
      </c>
      <c r="N22" t="s">
        <v>99</v>
      </c>
    </row>
    <row r="23" spans="2:14">
      <c r="B23" s="57">
        <v>46180</v>
      </c>
      <c r="C23" s="107" t="s">
        <v>122</v>
      </c>
      <c r="D23" t="s">
        <v>118</v>
      </c>
      <c r="E23" t="s">
        <v>86</v>
      </c>
      <c r="F23" s="13" t="str">
        <f>_xlfn.XLOOKUP(E23, Product_Master[SKU], Product_Master[Product Name], "Unknown SKU")</f>
        <v>P19</v>
      </c>
      <c r="G23" s="13" t="str">
        <f>_xlfn.XLOOKUP(E23, Product_Master[SKU], Product_Master[Category], "Unknown SKU")</f>
        <v>Household</v>
      </c>
      <c r="H23">
        <v>10</v>
      </c>
      <c r="I23" s="58">
        <v>5000</v>
      </c>
      <c r="J23" s="58">
        <f>Table8[[#This Row],[Unit Cost]]*Table8[[#This Row],[Quantity]]</f>
        <v>50000</v>
      </c>
      <c r="K23" s="58">
        <v>50000</v>
      </c>
      <c r="L23" s="58">
        <f>Table8[[#This Row],[Total purcahse]]-Table8[[#This Row],[Paid]]</f>
        <v>0</v>
      </c>
      <c r="N23" t="s">
        <v>99</v>
      </c>
    </row>
  </sheetData>
  <mergeCells count="1">
    <mergeCell ref="C1:D1"/>
  </mergeCells>
  <dataValidations count="1">
    <dataValidation allowBlank="1" showInputMessage="1" showErrorMessage="1" sqref="E2" xr:uid="{54512D74-D5DC-4187-A1DB-752E4A87C7AE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2234EF-1694-411E-9EEF-77103A1DAE27}">
          <x14:formula1>
            <xm:f>Product_Master!$D$5:$D$996</xm:f>
          </x14:formula1>
          <xm:sqref>E3:E1048576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4E13-2207-4D07-B34F-CCF2D1D5C499}">
  <dimension ref="B1:S27"/>
  <sheetViews>
    <sheetView showGridLines="0" topLeftCell="A2" workbookViewId="0">
      <selection activeCell="B1" sqref="B1:B1048576"/>
    </sheetView>
  </sheetViews>
  <sheetFormatPr defaultRowHeight="15"/>
  <cols>
    <col min="1" max="1" width="9.7109375" customWidth="1"/>
    <col min="2" max="2" width="12.140625" style="104" customWidth="1"/>
    <col min="3" max="3" width="16" bestFit="1" customWidth="1"/>
    <col min="4" max="4" width="12.42578125" customWidth="1"/>
    <col min="5" max="5" width="14.140625" customWidth="1"/>
    <col min="6" max="6" width="17" customWidth="1"/>
    <col min="7" max="8" width="11.7109375" customWidth="1"/>
    <col min="9" max="9" width="16.5703125" customWidth="1"/>
    <col min="10" max="10" width="14.5703125" style="58" customWidth="1"/>
    <col min="11" max="11" width="17.140625" style="58" customWidth="1"/>
    <col min="12" max="12" width="13.140625" customWidth="1"/>
    <col min="13" max="13" width="10.5703125" customWidth="1"/>
    <col min="14" max="14" width="10.5703125" style="58" bestFit="1" customWidth="1"/>
    <col min="15" max="15" width="11.5703125" style="58" bestFit="1" customWidth="1"/>
    <col min="16" max="16" width="10.5703125" style="58" bestFit="1" customWidth="1"/>
    <col min="17" max="17" width="12.5703125" style="58" bestFit="1" customWidth="1"/>
    <col min="18" max="18" width="15.7109375" style="58" customWidth="1"/>
    <col min="19" max="19" width="14.42578125" style="58" customWidth="1"/>
  </cols>
  <sheetData>
    <row r="1" spans="2:19" ht="42" customHeight="1">
      <c r="C1" s="117" t="s">
        <v>123</v>
      </c>
      <c r="D1" s="117"/>
      <c r="E1" s="117"/>
    </row>
    <row r="2" spans="2:19" s="43" customFormat="1" ht="21" customHeight="1">
      <c r="B2" s="105" t="s">
        <v>5</v>
      </c>
      <c r="C2" s="43" t="s">
        <v>89</v>
      </c>
      <c r="D2" s="43" t="s">
        <v>45</v>
      </c>
      <c r="E2" s="56" t="s">
        <v>46</v>
      </c>
      <c r="F2" s="43" t="s">
        <v>13</v>
      </c>
      <c r="G2" s="43" t="s">
        <v>47</v>
      </c>
      <c r="H2" s="43" t="s">
        <v>91</v>
      </c>
      <c r="I2" s="56" t="s">
        <v>124</v>
      </c>
      <c r="J2" s="62" t="s">
        <v>50</v>
      </c>
      <c r="K2" s="62" t="s">
        <v>125</v>
      </c>
      <c r="L2" s="43" t="s">
        <v>126</v>
      </c>
      <c r="M2" s="43" t="s">
        <v>127</v>
      </c>
      <c r="N2" s="62" t="s">
        <v>128</v>
      </c>
      <c r="O2" s="62" t="s">
        <v>129</v>
      </c>
      <c r="P2" s="62" t="s">
        <v>130</v>
      </c>
      <c r="Q2" s="62" t="s">
        <v>131</v>
      </c>
      <c r="R2" s="62" t="s">
        <v>132</v>
      </c>
      <c r="S2" s="62" t="s">
        <v>133</v>
      </c>
    </row>
    <row r="3" spans="2:19">
      <c r="B3" s="104">
        <v>46190</v>
      </c>
      <c r="C3" s="59" t="s">
        <v>134</v>
      </c>
      <c r="D3" t="s">
        <v>60</v>
      </c>
      <c r="E3" t="str">
        <f>_xlfn.XLOOKUP(D3, Product_Master[SKU], Product_Master[Parent SKU], "Unknown SKU")</f>
        <v>SKU-001</v>
      </c>
      <c r="F3" t="str">
        <f>_xlfn.XLOOKUP(D3, Product_Master[SKU], Product_Master[Product Name], "Unknown SKU")</f>
        <v>P1</v>
      </c>
      <c r="G3" t="str">
        <f>_xlfn.XLOOKUP(D3, Product_Master[SKU], Product_Master[Category], "Unknown SKU")</f>
        <v>Beverage</v>
      </c>
      <c r="H3">
        <v>9</v>
      </c>
      <c r="I3">
        <f>Stock_Out_Log[[#This Row],[Quantity]] * _xlfn.XLOOKUP(Stock_Out_Log[[#This Row],[SKU]], Product_Master!C:C, Product_Master!G:G, 1)</f>
        <v>9</v>
      </c>
      <c r="J3" s="58">
        <f>_xlfn.XLOOKUP(D3, Product_Master[SKU], Product_Master[Unit Price], 0)</f>
        <v>3000</v>
      </c>
      <c r="K3" s="58">
        <f>H3 * J3</f>
        <v>27000</v>
      </c>
      <c r="M3" t="s">
        <v>135</v>
      </c>
      <c r="O3" s="58">
        <v>13000</v>
      </c>
      <c r="Q3" s="58">
        <f>Stock_Out_Log[[#This Row],[Cash]]+Stock_Out_Log[[#This Row],[Transfer]]+Stock_Out_Log[[#This Row],[POS]]</f>
        <v>13000</v>
      </c>
      <c r="R3" s="58">
        <f>Stock_Out_Log[[#This Row],[Total Revenue]]-Stock_Out_Log[[#This Row],[Total Paid ]]</f>
        <v>14000</v>
      </c>
      <c r="S3" s="58">
        <f>K3 - (H3 * _xlfn.XLOOKUP(D3, Product_Master!B:B, Product_Master!H:H, 0))</f>
        <v>27000</v>
      </c>
    </row>
    <row r="4" spans="2:19">
      <c r="B4" s="57">
        <v>46190</v>
      </c>
      <c r="C4" s="59" t="s">
        <v>136</v>
      </c>
      <c r="D4" t="s">
        <v>62</v>
      </c>
      <c r="E4" t="str">
        <f>_xlfn.XLOOKUP(D4, Product_Master[SKU], Product_Master[Parent SKU], "Unknown SKU")</f>
        <v>SKU-001</v>
      </c>
      <c r="F4" t="str">
        <f>_xlfn.XLOOKUP(D4, Product_Master[SKU], Product_Master[Product Name], "Unknown SKU")</f>
        <v>P1 - P6</v>
      </c>
      <c r="G4" t="str">
        <f>_xlfn.XLOOKUP(D4, Product_Master[SKU], Product_Master[Category], "Unknown SKU")</f>
        <v>Beverage</v>
      </c>
      <c r="H4">
        <v>2</v>
      </c>
      <c r="I4">
        <f>Stock_Out_Log[[#This Row],[Quantity]] * _xlfn.XLOOKUP(Stock_Out_Log[[#This Row],[SKU]], Product_Master!C:C, Product_Master!G:G, 1)</f>
        <v>12</v>
      </c>
      <c r="J4" s="58">
        <f>_xlfn.XLOOKUP(D4, Product_Master[SKU], Product_Master[Unit Price], 0)</f>
        <v>15000</v>
      </c>
      <c r="K4" s="58">
        <f>H4 * J4</f>
        <v>30000</v>
      </c>
      <c r="M4" t="s">
        <v>135</v>
      </c>
      <c r="N4" s="58">
        <v>15000</v>
      </c>
      <c r="P4" s="58">
        <v>15000</v>
      </c>
      <c r="Q4" s="58">
        <f>Stock_Out_Log[[#This Row],[Cash]]+Stock_Out_Log[[#This Row],[Transfer]]+Stock_Out_Log[[#This Row],[POS]]</f>
        <v>30000</v>
      </c>
      <c r="R4" s="58">
        <f>Stock_Out_Log[[#This Row],[Total Revenue]]-Stock_Out_Log[[#This Row],[Total Paid ]]</f>
        <v>0</v>
      </c>
      <c r="S4" s="58">
        <f>K4 - (H4 * _xlfn.XLOOKUP(D4, Product_Master!B:B, Product_Master!H:H, 0))</f>
        <v>30000</v>
      </c>
    </row>
    <row r="5" spans="2:19">
      <c r="B5" s="57">
        <v>46190</v>
      </c>
      <c r="C5" s="59" t="s">
        <v>137</v>
      </c>
      <c r="D5" t="s">
        <v>64</v>
      </c>
      <c r="E5" t="str">
        <f>_xlfn.XLOOKUP(D5, Product_Master[SKU], Product_Master[Parent SKU], "Unknown SKU")</f>
        <v>SKU-002</v>
      </c>
      <c r="F5" t="str">
        <f>_xlfn.XLOOKUP(D5, Product_Master[SKU], Product_Master[Product Name], "Unknown SKU")</f>
        <v>P2</v>
      </c>
      <c r="G5" t="str">
        <f>_xlfn.XLOOKUP(D5, Product_Master[SKU], Product_Master[Category], "Unknown SKU")</f>
        <v>Stationary</v>
      </c>
      <c r="H5">
        <v>13</v>
      </c>
      <c r="I5">
        <f>Stock_Out_Log[[#This Row],[Quantity]] * _xlfn.XLOOKUP(Stock_Out_Log[[#This Row],[SKU]], Product_Master!C:C, Product_Master!G:G, 1)</f>
        <v>13</v>
      </c>
      <c r="J5" s="58">
        <f>_xlfn.XLOOKUP(D5, Product_Master[SKU], Product_Master[Unit Price], 0)</f>
        <v>1900</v>
      </c>
      <c r="K5" s="58">
        <f t="shared" ref="K5:K8" si="0">H5 * J5</f>
        <v>24700</v>
      </c>
      <c r="M5" t="s">
        <v>135</v>
      </c>
      <c r="O5" s="58">
        <v>24710</v>
      </c>
      <c r="Q5" s="58">
        <f>Stock_Out_Log[[#This Row],[Cash]]+Stock_Out_Log[[#This Row],[Transfer]]+Stock_Out_Log[[#This Row],[POS]]</f>
        <v>24710</v>
      </c>
      <c r="R5" s="58">
        <f>Stock_Out_Log[[#This Row],[Total Revenue]]-Stock_Out_Log[[#This Row],[Total Paid ]]</f>
        <v>-10</v>
      </c>
      <c r="S5" s="58">
        <f>K5 - (H5 * _xlfn.XLOOKUP(D5, Product_Master!B:B, Product_Master!H:H, 0))</f>
        <v>24700</v>
      </c>
    </row>
    <row r="6" spans="2:19">
      <c r="B6" s="57">
        <v>46190</v>
      </c>
      <c r="C6" s="59" t="s">
        <v>138</v>
      </c>
      <c r="D6" t="s">
        <v>72</v>
      </c>
      <c r="E6" t="str">
        <f>_xlfn.XLOOKUP(D6, Product_Master[SKU], Product_Master[Parent SKU], "Unknown SKU")</f>
        <v>SKU-006</v>
      </c>
      <c r="F6" t="str">
        <f>_xlfn.XLOOKUP(D6, Product_Master[SKU], Product_Master[Product Name], "Unknown SKU")</f>
        <v>P6</v>
      </c>
      <c r="G6" t="str">
        <f>_xlfn.XLOOKUP(D6, Product_Master[SKU], Product_Master[Category], "Unknown SKU")</f>
        <v>Pasteries</v>
      </c>
      <c r="H6">
        <v>9</v>
      </c>
      <c r="I6">
        <f>Stock_Out_Log[[#This Row],[Quantity]] * _xlfn.XLOOKUP(Stock_Out_Log[[#This Row],[SKU]], Product_Master!C:C, Product_Master!G:G, 1)</f>
        <v>9</v>
      </c>
      <c r="J6" s="58">
        <f>_xlfn.XLOOKUP(D6, Product_Master[SKU], Product_Master[Unit Price], 0)</f>
        <v>7000</v>
      </c>
      <c r="K6" s="58">
        <f t="shared" si="0"/>
        <v>63000</v>
      </c>
      <c r="M6" t="s">
        <v>135</v>
      </c>
      <c r="N6" s="58">
        <v>63000</v>
      </c>
      <c r="Q6" s="58">
        <f>Stock_Out_Log[[#This Row],[Cash]]+Stock_Out_Log[[#This Row],[Transfer]]+Stock_Out_Log[[#This Row],[POS]]</f>
        <v>63000</v>
      </c>
      <c r="R6" s="58">
        <f>Stock_Out_Log[[#This Row],[Total Revenue]]-Stock_Out_Log[[#This Row],[Total Paid ]]</f>
        <v>0</v>
      </c>
      <c r="S6" s="58">
        <f>K6 - (H6 * _xlfn.XLOOKUP(D6, Product_Master!B:B, Product_Master!H:H, 0))</f>
        <v>63000</v>
      </c>
    </row>
    <row r="7" spans="2:19">
      <c r="B7" s="57">
        <v>46190</v>
      </c>
      <c r="C7" s="59" t="s">
        <v>139</v>
      </c>
      <c r="D7" t="s">
        <v>68</v>
      </c>
      <c r="E7" t="str">
        <f>_xlfn.XLOOKUP(D7, Product_Master[SKU], Product_Master[Parent SKU], "Unknown SKU")</f>
        <v>SKU-004</v>
      </c>
      <c r="F7" t="str">
        <f>_xlfn.XLOOKUP(D7, Product_Master[SKU], Product_Master[Product Name], "Unknown SKU")</f>
        <v>P4</v>
      </c>
      <c r="G7" t="str">
        <f>_xlfn.XLOOKUP(D7, Product_Master[SKU], Product_Master[Category], "Unknown SKU")</f>
        <v>Sanitary</v>
      </c>
      <c r="H7">
        <v>3</v>
      </c>
      <c r="I7">
        <f>Stock_Out_Log[[#This Row],[Quantity]] * _xlfn.XLOOKUP(Stock_Out_Log[[#This Row],[SKU]], Product_Master!C:C, Product_Master!G:G, 1)</f>
        <v>3</v>
      </c>
      <c r="J7" s="58">
        <f>_xlfn.XLOOKUP(D7, Product_Master[SKU], Product_Master[Unit Price], 0)</f>
        <v>5500</v>
      </c>
      <c r="K7" s="58">
        <f t="shared" si="0"/>
        <v>16500</v>
      </c>
      <c r="M7" t="s">
        <v>135</v>
      </c>
      <c r="P7" s="58">
        <v>16500</v>
      </c>
      <c r="Q7" s="58">
        <f>Stock_Out_Log[[#This Row],[Cash]]+Stock_Out_Log[[#This Row],[Transfer]]+Stock_Out_Log[[#This Row],[POS]]</f>
        <v>16500</v>
      </c>
      <c r="R7" s="58">
        <f>Stock_Out_Log[[#This Row],[Total Revenue]]-Stock_Out_Log[[#This Row],[Total Paid ]]</f>
        <v>0</v>
      </c>
      <c r="S7" s="58">
        <f>K7 - (H7 * _xlfn.XLOOKUP(D7, Product_Master!B:B, Product_Master!H:H, 0))</f>
        <v>16500</v>
      </c>
    </row>
    <row r="8" spans="2:19">
      <c r="B8" s="57">
        <v>46190</v>
      </c>
      <c r="C8" s="59" t="s">
        <v>140</v>
      </c>
      <c r="D8" t="s">
        <v>87</v>
      </c>
      <c r="E8" t="str">
        <f>_xlfn.XLOOKUP(D8, Product_Master[SKU], Product_Master[Parent SKU], "Unknown SKU")</f>
        <v>SKU-019</v>
      </c>
      <c r="F8" t="str">
        <f>_xlfn.XLOOKUP(D8, Product_Master[SKU], Product_Master[Product Name], "Unknown SKU")</f>
        <v>P20</v>
      </c>
      <c r="G8" t="str">
        <f>_xlfn.XLOOKUP(D8, Product_Master[SKU], Product_Master[Category], "Unknown SKU")</f>
        <v>Household</v>
      </c>
      <c r="H8">
        <v>1</v>
      </c>
      <c r="I8">
        <f>Stock_Out_Log[[#This Row],[Quantity]] * _xlfn.XLOOKUP(Stock_Out_Log[[#This Row],[SKU]], Product_Master!C:C, Product_Master!G:G, 1)</f>
        <v>20</v>
      </c>
      <c r="J8" s="58">
        <f>_xlfn.XLOOKUP(D8, Product_Master[SKU], Product_Master[Unit Price], 0)</f>
        <v>150000</v>
      </c>
      <c r="K8" s="58">
        <f t="shared" si="0"/>
        <v>150000</v>
      </c>
      <c r="M8" t="s">
        <v>135</v>
      </c>
      <c r="O8" s="58">
        <v>150000</v>
      </c>
      <c r="Q8" s="58">
        <f>Stock_Out_Log[[#This Row],[Cash]]+Stock_Out_Log[[#This Row],[Transfer]]+Stock_Out_Log[[#This Row],[POS]]</f>
        <v>150000</v>
      </c>
      <c r="R8" s="58">
        <f>Stock_Out_Log[[#This Row],[Total Revenue]]-Stock_Out_Log[[#This Row],[Total Paid ]]</f>
        <v>0</v>
      </c>
      <c r="S8" s="58">
        <f>K8 - (H8 * _xlfn.XLOOKUP(D8, Product_Master!B:B, Product_Master!H:H, 0))</f>
        <v>150000</v>
      </c>
    </row>
    <row r="9" spans="2:19">
      <c r="B9" s="57">
        <v>46191</v>
      </c>
      <c r="C9" s="59" t="s">
        <v>141</v>
      </c>
      <c r="D9" t="s">
        <v>68</v>
      </c>
      <c r="E9" s="13" t="str">
        <f>_xlfn.XLOOKUP(D9, Product_Master[SKU], Product_Master[Parent SKU], "Unknown SKU")</f>
        <v>SKU-004</v>
      </c>
      <c r="F9" t="str">
        <f>_xlfn.XLOOKUP(D9, Product_Master[SKU], Product_Master[Product Name], "Unknown SKU")</f>
        <v>P4</v>
      </c>
      <c r="G9" t="str">
        <f>_xlfn.XLOOKUP(D9, Product_Master[SKU], Product_Master[Category], "Unknown SKU")</f>
        <v>Sanitary</v>
      </c>
      <c r="H9">
        <v>5</v>
      </c>
      <c r="I9">
        <f>Stock_Out_Log[[#This Row],[Quantity]] * _xlfn.XLOOKUP(Stock_Out_Log[[#This Row],[SKU]], Product_Master!C:C, Product_Master!G:G, 1)</f>
        <v>5</v>
      </c>
      <c r="J9" s="58">
        <f>_xlfn.XLOOKUP(D9, Product_Master[SKU], Product_Master[Unit Price], 0)</f>
        <v>5500</v>
      </c>
      <c r="K9" s="58">
        <f t="shared" ref="K9:K23" si="1">H9 * J9</f>
        <v>27500</v>
      </c>
      <c r="M9" t="s">
        <v>135</v>
      </c>
      <c r="O9" s="58">
        <v>27500</v>
      </c>
      <c r="Q9" s="58">
        <f>Stock_Out_Log[[#This Row],[Cash]]+Stock_Out_Log[[#This Row],[Transfer]]+Stock_Out_Log[[#This Row],[POS]]</f>
        <v>27500</v>
      </c>
      <c r="R9" s="58">
        <f>Stock_Out_Log[[#This Row],[Total Revenue]]-Stock_Out_Log[[#This Row],[Total Paid ]]</f>
        <v>0</v>
      </c>
      <c r="S9" s="58">
        <f>K9 - (H9 * _xlfn.XLOOKUP(D9, Product_Master!B:B, Product_Master!H:H, 0))</f>
        <v>27500</v>
      </c>
    </row>
    <row r="10" spans="2:19">
      <c r="B10" s="57">
        <v>46192</v>
      </c>
      <c r="C10" s="59" t="s">
        <v>142</v>
      </c>
      <c r="D10" t="s">
        <v>60</v>
      </c>
      <c r="E10" s="13" t="str">
        <f>_xlfn.XLOOKUP(D10, Product_Master[SKU], Product_Master[Parent SKU], "Unknown SKU")</f>
        <v>SKU-001</v>
      </c>
      <c r="F10" t="str">
        <f>_xlfn.XLOOKUP(D10, Product_Master[SKU], Product_Master[Product Name], "Unknown SKU")</f>
        <v>P1</v>
      </c>
      <c r="G10" t="str">
        <f>_xlfn.XLOOKUP(D10, Product_Master[SKU], Product_Master[Category], "Unknown SKU")</f>
        <v>Beverage</v>
      </c>
      <c r="H10">
        <v>1</v>
      </c>
      <c r="I10">
        <f>Stock_Out_Log[[#This Row],[Quantity]] * _xlfn.XLOOKUP(Stock_Out_Log[[#This Row],[SKU]], Product_Master!C:C, Product_Master!G:G, 1)</f>
        <v>1</v>
      </c>
      <c r="J10" s="58">
        <f>_xlfn.XLOOKUP(D10, Product_Master[SKU], Product_Master[Unit Price], 0)</f>
        <v>3000</v>
      </c>
      <c r="K10" s="58">
        <f t="shared" si="1"/>
        <v>3000</v>
      </c>
      <c r="M10" t="s">
        <v>135</v>
      </c>
      <c r="P10" s="58">
        <v>3000</v>
      </c>
      <c r="Q10" s="58">
        <f>Stock_Out_Log[[#This Row],[Cash]]+Stock_Out_Log[[#This Row],[Transfer]]+Stock_Out_Log[[#This Row],[POS]]</f>
        <v>3000</v>
      </c>
      <c r="R10" s="58">
        <f>Stock_Out_Log[[#This Row],[Total Revenue]]-Stock_Out_Log[[#This Row],[Total Paid ]]</f>
        <v>0</v>
      </c>
      <c r="S10" s="58">
        <f>K10 - (H10 * _xlfn.XLOOKUP(D10, Product_Master!B:B, Product_Master!H:H, 0))</f>
        <v>3000</v>
      </c>
    </row>
    <row r="11" spans="2:19">
      <c r="B11" s="57">
        <v>46193</v>
      </c>
      <c r="C11" s="59" t="s">
        <v>143</v>
      </c>
      <c r="D11" t="s">
        <v>66</v>
      </c>
      <c r="E11" s="13" t="str">
        <f>_xlfn.XLOOKUP(D11, Product_Master[SKU], Product_Master[Parent SKU], "Unknown SKU")</f>
        <v>SKU-003</v>
      </c>
      <c r="F11" t="str">
        <f>_xlfn.XLOOKUP(D11, Product_Master[SKU], Product_Master[Product Name], "Unknown SKU")</f>
        <v>P3</v>
      </c>
      <c r="G11" t="str">
        <f>_xlfn.XLOOKUP(D11, Product_Master[SKU], Product_Master[Category], "Unknown SKU")</f>
        <v>Household</v>
      </c>
      <c r="H11">
        <v>5</v>
      </c>
      <c r="I11">
        <f>Stock_Out_Log[[#This Row],[Quantity]] * _xlfn.XLOOKUP(Stock_Out_Log[[#This Row],[SKU]], Product_Master!C:C, Product_Master!G:G, 1)</f>
        <v>5</v>
      </c>
      <c r="J11" s="58">
        <f>_xlfn.XLOOKUP(D11, Product_Master[SKU], Product_Master[Unit Price], 0)</f>
        <v>750</v>
      </c>
      <c r="K11" s="58">
        <f t="shared" si="1"/>
        <v>3750</v>
      </c>
      <c r="M11" t="s">
        <v>135</v>
      </c>
      <c r="P11" s="58">
        <v>3750</v>
      </c>
      <c r="Q11" s="58">
        <f>Stock_Out_Log[[#This Row],[Cash]]+Stock_Out_Log[[#This Row],[Transfer]]+Stock_Out_Log[[#This Row],[POS]]</f>
        <v>3750</v>
      </c>
      <c r="R11" s="58">
        <f>Stock_Out_Log[[#This Row],[Total Revenue]]-Stock_Out_Log[[#This Row],[Total Paid ]]</f>
        <v>0</v>
      </c>
      <c r="S11" s="58">
        <f>K11 - (H11 * _xlfn.XLOOKUP(D11, Product_Master!B:B, Product_Master!H:H, 0))</f>
        <v>3750</v>
      </c>
    </row>
    <row r="12" spans="2:19">
      <c r="B12" s="57">
        <v>46194</v>
      </c>
      <c r="C12" s="59" t="s">
        <v>144</v>
      </c>
      <c r="D12" t="s">
        <v>85</v>
      </c>
      <c r="E12" s="13" t="str">
        <f>_xlfn.XLOOKUP(D12, Product_Master[SKU], Product_Master[Parent SKU], "Unknown SKU")</f>
        <v>SKU-018</v>
      </c>
      <c r="F12" t="str">
        <f>_xlfn.XLOOKUP(D12, Product_Master[SKU], Product_Master[Product Name], "Unknown SKU")</f>
        <v>P18</v>
      </c>
      <c r="G12" t="str">
        <f>_xlfn.XLOOKUP(D12, Product_Master[SKU], Product_Master[Category], "Unknown SKU")</f>
        <v>Toiletry</v>
      </c>
      <c r="H12">
        <v>1</v>
      </c>
      <c r="I12">
        <f>Stock_Out_Log[[#This Row],[Quantity]] * _xlfn.XLOOKUP(Stock_Out_Log[[#This Row],[SKU]], Product_Master!C:C, Product_Master!G:G, 1)</f>
        <v>1</v>
      </c>
      <c r="J12" s="58">
        <f>_xlfn.XLOOKUP(D12, Product_Master[SKU], Product_Master[Unit Price], 0)</f>
        <v>8100</v>
      </c>
      <c r="K12" s="58">
        <f t="shared" si="1"/>
        <v>8100</v>
      </c>
      <c r="M12" t="s">
        <v>135</v>
      </c>
      <c r="N12" s="58">
        <v>8100</v>
      </c>
      <c r="Q12" s="58">
        <f>Stock_Out_Log[[#This Row],[Cash]]+Stock_Out_Log[[#This Row],[Transfer]]+Stock_Out_Log[[#This Row],[POS]]</f>
        <v>8100</v>
      </c>
      <c r="R12" s="58">
        <f>Stock_Out_Log[[#This Row],[Total Revenue]]-Stock_Out_Log[[#This Row],[Total Paid ]]</f>
        <v>0</v>
      </c>
      <c r="S12" s="58">
        <f>K12 - (H12 * _xlfn.XLOOKUP(D12, Product_Master!B:B, Product_Master!H:H, 0))</f>
        <v>8100</v>
      </c>
    </row>
    <row r="13" spans="2:19">
      <c r="B13" s="57">
        <v>46195</v>
      </c>
      <c r="C13" s="59" t="s">
        <v>145</v>
      </c>
      <c r="D13" t="s">
        <v>80</v>
      </c>
      <c r="E13" s="13" t="str">
        <f>_xlfn.XLOOKUP(D13, Product_Master[SKU], Product_Master[Parent SKU], "Unknown SKU")</f>
        <v>SKU-013</v>
      </c>
      <c r="F13" t="str">
        <f>_xlfn.XLOOKUP(D13, Product_Master[SKU], Product_Master[Product Name], "Unknown SKU")</f>
        <v>P13</v>
      </c>
      <c r="G13" t="str">
        <f>_xlfn.XLOOKUP(D13, Product_Master[SKU], Product_Master[Category], "Unknown SKU")</f>
        <v>Beverage</v>
      </c>
      <c r="H13">
        <v>6</v>
      </c>
      <c r="I13">
        <f>Stock_Out_Log[[#This Row],[Quantity]] * _xlfn.XLOOKUP(Stock_Out_Log[[#This Row],[SKU]], Product_Master!C:C, Product_Master!G:G, 1)</f>
        <v>6</v>
      </c>
      <c r="J13" s="58">
        <f>_xlfn.XLOOKUP(D13, Product_Master[SKU], Product_Master[Unit Price], 0)</f>
        <v>1000</v>
      </c>
      <c r="K13" s="58">
        <f t="shared" si="1"/>
        <v>6000</v>
      </c>
      <c r="M13" t="s">
        <v>135</v>
      </c>
      <c r="N13" s="58">
        <v>6000</v>
      </c>
      <c r="Q13" s="58">
        <f>Stock_Out_Log[[#This Row],[Cash]]+Stock_Out_Log[[#This Row],[Transfer]]+Stock_Out_Log[[#This Row],[POS]]</f>
        <v>6000</v>
      </c>
      <c r="R13" s="58">
        <f>Stock_Out_Log[[#This Row],[Total Revenue]]-Stock_Out_Log[[#This Row],[Total Paid ]]</f>
        <v>0</v>
      </c>
      <c r="S13" s="58">
        <f>K13 - (H13 * _xlfn.XLOOKUP(D13, Product_Master!B:B, Product_Master!H:H, 0))</f>
        <v>6000</v>
      </c>
    </row>
    <row r="14" spans="2:19">
      <c r="B14" s="57">
        <v>46196</v>
      </c>
      <c r="C14" s="59" t="s">
        <v>146</v>
      </c>
      <c r="D14" t="s">
        <v>80</v>
      </c>
      <c r="E14" s="13" t="str">
        <f>_xlfn.XLOOKUP(D14, Product_Master[SKU], Product_Master[Parent SKU], "Unknown SKU")</f>
        <v>SKU-013</v>
      </c>
      <c r="F14" t="str">
        <f>_xlfn.XLOOKUP(D14, Product_Master[SKU], Product_Master[Product Name], "Unknown SKU")</f>
        <v>P13</v>
      </c>
      <c r="G14" t="str">
        <f>_xlfn.XLOOKUP(D14, Product_Master[SKU], Product_Master[Category], "Unknown SKU")</f>
        <v>Beverage</v>
      </c>
      <c r="H14">
        <v>4</v>
      </c>
      <c r="I14">
        <f>Stock_Out_Log[[#This Row],[Quantity]] * _xlfn.XLOOKUP(Stock_Out_Log[[#This Row],[SKU]], Product_Master!C:C, Product_Master!G:G, 1)</f>
        <v>4</v>
      </c>
      <c r="J14" s="58">
        <f>_xlfn.XLOOKUP(D14, Product_Master[SKU], Product_Master[Unit Price], 0)</f>
        <v>1000</v>
      </c>
      <c r="K14" s="58">
        <f t="shared" si="1"/>
        <v>4000</v>
      </c>
      <c r="M14" t="s">
        <v>135</v>
      </c>
      <c r="N14" s="58">
        <v>4000</v>
      </c>
      <c r="Q14" s="58">
        <f>Stock_Out_Log[[#This Row],[Cash]]+Stock_Out_Log[[#This Row],[Transfer]]+Stock_Out_Log[[#This Row],[POS]]</f>
        <v>4000</v>
      </c>
      <c r="R14" s="58">
        <f>Stock_Out_Log[[#This Row],[Total Revenue]]-Stock_Out_Log[[#This Row],[Total Paid ]]</f>
        <v>0</v>
      </c>
      <c r="S14" s="58">
        <f>K14 - (H14 * _xlfn.XLOOKUP(D14, Product_Master!B:B, Product_Master!H:H, 0))</f>
        <v>4000</v>
      </c>
    </row>
    <row r="15" spans="2:19">
      <c r="B15" s="57">
        <v>46197</v>
      </c>
      <c r="C15" s="59" t="s">
        <v>147</v>
      </c>
      <c r="D15" t="s">
        <v>68</v>
      </c>
      <c r="E15" s="13" t="str">
        <f>_xlfn.XLOOKUP(D15, Product_Master[SKU], Product_Master[Parent SKU], "Unknown SKU")</f>
        <v>SKU-004</v>
      </c>
      <c r="F15" t="str">
        <f>_xlfn.XLOOKUP(D15, Product_Master[SKU], Product_Master[Product Name], "Unknown SKU")</f>
        <v>P4</v>
      </c>
      <c r="G15" t="str">
        <f>_xlfn.XLOOKUP(D15, Product_Master[SKU], Product_Master[Category], "Unknown SKU")</f>
        <v>Sanitary</v>
      </c>
      <c r="H15">
        <v>2</v>
      </c>
      <c r="I15">
        <f>Stock_Out_Log[[#This Row],[Quantity]] * _xlfn.XLOOKUP(Stock_Out_Log[[#This Row],[SKU]], Product_Master!C:C, Product_Master!G:G, 1)</f>
        <v>2</v>
      </c>
      <c r="J15" s="58">
        <f>_xlfn.XLOOKUP(D15, Product_Master[SKU], Product_Master[Unit Price], 0)</f>
        <v>5500</v>
      </c>
      <c r="K15" s="58">
        <f t="shared" si="1"/>
        <v>11000</v>
      </c>
      <c r="M15" t="s">
        <v>135</v>
      </c>
      <c r="O15" s="58">
        <v>5000</v>
      </c>
      <c r="Q15" s="58">
        <f>Stock_Out_Log[[#This Row],[Cash]]+Stock_Out_Log[[#This Row],[Transfer]]+Stock_Out_Log[[#This Row],[POS]]</f>
        <v>5000</v>
      </c>
      <c r="R15" s="58">
        <f>Stock_Out_Log[[#This Row],[Total Revenue]]-Stock_Out_Log[[#This Row],[Total Paid ]]</f>
        <v>6000</v>
      </c>
      <c r="S15" s="58">
        <f>K15 - (H15 * _xlfn.XLOOKUP(D15, Product_Master!B:B, Product_Master!H:H, 0))</f>
        <v>11000</v>
      </c>
    </row>
    <row r="16" spans="2:19">
      <c r="B16" s="57">
        <v>46198</v>
      </c>
      <c r="C16" s="59" t="s">
        <v>148</v>
      </c>
      <c r="D16" t="s">
        <v>86</v>
      </c>
      <c r="E16" s="13" t="str">
        <f>_xlfn.XLOOKUP(D16, Product_Master[SKU], Product_Master[Parent SKU], "Unknown SKU")</f>
        <v>SKU-019</v>
      </c>
      <c r="F16" t="str">
        <f>_xlfn.XLOOKUP(D16, Product_Master[SKU], Product_Master[Product Name], "Unknown SKU")</f>
        <v>P19</v>
      </c>
      <c r="G16" t="str">
        <f>_xlfn.XLOOKUP(D16, Product_Master[SKU], Product_Master[Category], "Unknown SKU")</f>
        <v>Household</v>
      </c>
      <c r="H16">
        <v>1</v>
      </c>
      <c r="I16">
        <f>Stock_Out_Log[[#This Row],[Quantity]] * _xlfn.XLOOKUP(Stock_Out_Log[[#This Row],[SKU]], Product_Master!C:C, Product_Master!G:G, 1)</f>
        <v>1</v>
      </c>
      <c r="J16" s="58">
        <f>_xlfn.XLOOKUP(D16, Product_Master[SKU], Product_Master[Unit Price], 0)</f>
        <v>6500</v>
      </c>
      <c r="K16" s="58">
        <f t="shared" si="1"/>
        <v>6500</v>
      </c>
      <c r="M16" t="s">
        <v>135</v>
      </c>
      <c r="O16" s="58">
        <v>6500</v>
      </c>
      <c r="Q16" s="58">
        <f>Stock_Out_Log[[#This Row],[Cash]]+Stock_Out_Log[[#This Row],[Transfer]]+Stock_Out_Log[[#This Row],[POS]]</f>
        <v>6500</v>
      </c>
      <c r="R16" s="58">
        <f>Stock_Out_Log[[#This Row],[Total Revenue]]-Stock_Out_Log[[#This Row],[Total Paid ]]</f>
        <v>0</v>
      </c>
      <c r="S16" s="58">
        <f>K16 - (H16 * _xlfn.XLOOKUP(D16, Product_Master!B:B, Product_Master!H:H, 0))</f>
        <v>6500</v>
      </c>
    </row>
    <row r="17" spans="2:19">
      <c r="B17" s="57">
        <v>46199</v>
      </c>
      <c r="C17" s="59" t="s">
        <v>149</v>
      </c>
      <c r="D17" t="s">
        <v>60</v>
      </c>
      <c r="E17" s="13" t="str">
        <f>_xlfn.XLOOKUP(D17, Product_Master[SKU], Product_Master[Parent SKU], "Unknown SKU")</f>
        <v>SKU-001</v>
      </c>
      <c r="F17" t="str">
        <f>_xlfn.XLOOKUP(D17, Product_Master[SKU], Product_Master[Product Name], "Unknown SKU")</f>
        <v>P1</v>
      </c>
      <c r="G17" t="str">
        <f>_xlfn.XLOOKUP(D17, Product_Master[SKU], Product_Master[Category], "Unknown SKU")</f>
        <v>Beverage</v>
      </c>
      <c r="H17">
        <v>2</v>
      </c>
      <c r="I17">
        <f>Stock_Out_Log[[#This Row],[Quantity]] * _xlfn.XLOOKUP(Stock_Out_Log[[#This Row],[SKU]], Product_Master!C:C, Product_Master!G:G, 1)</f>
        <v>2</v>
      </c>
      <c r="J17" s="58">
        <f>_xlfn.XLOOKUP(D17, Product_Master[SKU], Product_Master[Unit Price], 0)</f>
        <v>3000</v>
      </c>
      <c r="K17" s="58">
        <f t="shared" si="1"/>
        <v>6000</v>
      </c>
      <c r="M17" t="s">
        <v>135</v>
      </c>
      <c r="P17" s="58">
        <v>6000</v>
      </c>
      <c r="Q17" s="58">
        <f>Stock_Out_Log[[#This Row],[Cash]]+Stock_Out_Log[[#This Row],[Transfer]]+Stock_Out_Log[[#This Row],[POS]]</f>
        <v>6000</v>
      </c>
      <c r="R17" s="58">
        <f>Stock_Out_Log[[#This Row],[Total Revenue]]-Stock_Out_Log[[#This Row],[Total Paid ]]</f>
        <v>0</v>
      </c>
      <c r="S17" s="58">
        <f>K17 - (H17 * _xlfn.XLOOKUP(D17, Product_Master!B:B, Product_Master!H:H, 0))</f>
        <v>6000</v>
      </c>
    </row>
    <row r="18" spans="2:19">
      <c r="B18" s="57">
        <v>46200</v>
      </c>
      <c r="C18" s="59" t="s">
        <v>150</v>
      </c>
      <c r="D18" t="s">
        <v>68</v>
      </c>
      <c r="E18" s="13" t="str">
        <f>_xlfn.XLOOKUP(D18, Product_Master[SKU], Product_Master[Parent SKU], "Unknown SKU")</f>
        <v>SKU-004</v>
      </c>
      <c r="F18" t="str">
        <f>_xlfn.XLOOKUP(D18, Product_Master[SKU], Product_Master[Product Name], "Unknown SKU")</f>
        <v>P4</v>
      </c>
      <c r="G18" t="str">
        <f>_xlfn.XLOOKUP(D18, Product_Master[SKU], Product_Master[Category], "Unknown SKU")</f>
        <v>Sanitary</v>
      </c>
      <c r="H18">
        <v>7</v>
      </c>
      <c r="I18">
        <f>Stock_Out_Log[[#This Row],[Quantity]] * _xlfn.XLOOKUP(Stock_Out_Log[[#This Row],[SKU]], Product_Master!C:C, Product_Master!G:G, 1)</f>
        <v>7</v>
      </c>
      <c r="J18" s="58">
        <f>_xlfn.XLOOKUP(D18, Product_Master[SKU], Product_Master[Unit Price], 0)</f>
        <v>5500</v>
      </c>
      <c r="K18" s="58">
        <f t="shared" si="1"/>
        <v>38500</v>
      </c>
      <c r="M18" t="s">
        <v>135</v>
      </c>
      <c r="O18" s="58">
        <v>20000</v>
      </c>
      <c r="Q18" s="58">
        <f>Stock_Out_Log[[#This Row],[Cash]]+Stock_Out_Log[[#This Row],[Transfer]]+Stock_Out_Log[[#This Row],[POS]]</f>
        <v>20000</v>
      </c>
      <c r="R18" s="58">
        <f>Stock_Out_Log[[#This Row],[Total Revenue]]-Stock_Out_Log[[#This Row],[Total Paid ]]</f>
        <v>18500</v>
      </c>
      <c r="S18" s="58">
        <f>K18 - (H18 * _xlfn.XLOOKUP(D18, Product_Master!B:B, Product_Master!H:H, 0))</f>
        <v>38500</v>
      </c>
    </row>
    <row r="19" spans="2:19">
      <c r="B19" s="57">
        <v>46201</v>
      </c>
      <c r="C19" s="59" t="s">
        <v>151</v>
      </c>
      <c r="D19" t="s">
        <v>83</v>
      </c>
      <c r="E19" s="13" t="str">
        <f>_xlfn.XLOOKUP(D19, Product_Master[SKU], Product_Master[Parent SKU], "Unknown SKU")</f>
        <v>SKU-016</v>
      </c>
      <c r="F19" t="str">
        <f>_xlfn.XLOOKUP(D19, Product_Master[SKU], Product_Master[Product Name], "Unknown SKU")</f>
        <v>P16</v>
      </c>
      <c r="G19" t="str">
        <f>_xlfn.XLOOKUP(D19, Product_Master[SKU], Product_Master[Category], "Unknown SKU")</f>
        <v>Pasteries</v>
      </c>
      <c r="H19">
        <v>55</v>
      </c>
      <c r="I19">
        <f>Stock_Out_Log[[#This Row],[Quantity]] * _xlfn.XLOOKUP(Stock_Out_Log[[#This Row],[SKU]], Product_Master!C:C, Product_Master!G:G, 1)</f>
        <v>55</v>
      </c>
      <c r="J19" s="58">
        <f>_xlfn.XLOOKUP(D19, Product_Master[SKU], Product_Master[Unit Price], 0)</f>
        <v>5900</v>
      </c>
      <c r="K19" s="58">
        <f t="shared" si="1"/>
        <v>324500</v>
      </c>
      <c r="M19" t="s">
        <v>135</v>
      </c>
      <c r="N19" s="58">
        <v>10000</v>
      </c>
      <c r="Q19" s="58">
        <f>Stock_Out_Log[[#This Row],[Cash]]+Stock_Out_Log[[#This Row],[Transfer]]+Stock_Out_Log[[#This Row],[POS]]</f>
        <v>10000</v>
      </c>
      <c r="R19" s="58">
        <f>Stock_Out_Log[[#This Row],[Total Revenue]]-Stock_Out_Log[[#This Row],[Total Paid ]]</f>
        <v>314500</v>
      </c>
      <c r="S19" s="58">
        <f>K19 - (H19 * _xlfn.XLOOKUP(D19, Product_Master!B:B, Product_Master!H:H, 0))</f>
        <v>324500</v>
      </c>
    </row>
    <row r="20" spans="2:19">
      <c r="B20" s="57">
        <v>46202</v>
      </c>
      <c r="C20" s="59" t="s">
        <v>152</v>
      </c>
      <c r="D20" t="s">
        <v>66</v>
      </c>
      <c r="E20" s="13" t="str">
        <f>_xlfn.XLOOKUP(D20, Product_Master[SKU], Product_Master[Parent SKU], "Unknown SKU")</f>
        <v>SKU-003</v>
      </c>
      <c r="F20" t="str">
        <f>_xlfn.XLOOKUP(D20, Product_Master[SKU], Product_Master[Product Name], "Unknown SKU")</f>
        <v>P3</v>
      </c>
      <c r="G20" t="str">
        <f>_xlfn.XLOOKUP(D20, Product_Master[SKU], Product_Master[Category], "Unknown SKU")</f>
        <v>Household</v>
      </c>
      <c r="H20">
        <v>1</v>
      </c>
      <c r="I20">
        <f>Stock_Out_Log[[#This Row],[Quantity]] * _xlfn.XLOOKUP(Stock_Out_Log[[#This Row],[SKU]], Product_Master!C:C, Product_Master!G:G, 1)</f>
        <v>1</v>
      </c>
      <c r="J20" s="58">
        <f>_xlfn.XLOOKUP(D20, Product_Master[SKU], Product_Master[Unit Price], 0)</f>
        <v>750</v>
      </c>
      <c r="K20" s="58">
        <f t="shared" si="1"/>
        <v>750</v>
      </c>
      <c r="M20" t="s">
        <v>135</v>
      </c>
      <c r="P20" s="58">
        <v>750</v>
      </c>
      <c r="Q20" s="58">
        <f>Stock_Out_Log[[#This Row],[Cash]]+Stock_Out_Log[[#This Row],[Transfer]]+Stock_Out_Log[[#This Row],[POS]]</f>
        <v>750</v>
      </c>
      <c r="R20" s="58">
        <f>Stock_Out_Log[[#This Row],[Total Revenue]]-Stock_Out_Log[[#This Row],[Total Paid ]]</f>
        <v>0</v>
      </c>
      <c r="S20" s="58">
        <f>K20 - (H20 * _xlfn.XLOOKUP(D20, Product_Master!B:B, Product_Master!H:H, 0))</f>
        <v>750</v>
      </c>
    </row>
    <row r="21" spans="2:19">
      <c r="B21" s="57">
        <v>46203</v>
      </c>
      <c r="C21" s="59" t="s">
        <v>153</v>
      </c>
      <c r="D21" t="s">
        <v>85</v>
      </c>
      <c r="E21" s="13" t="str">
        <f>_xlfn.XLOOKUP(D21, Product_Master[SKU], Product_Master[Parent SKU], "Unknown SKU")</f>
        <v>SKU-018</v>
      </c>
      <c r="F21" t="str">
        <f>_xlfn.XLOOKUP(D21, Product_Master[SKU], Product_Master[Product Name], "Unknown SKU")</f>
        <v>P18</v>
      </c>
      <c r="G21" t="str">
        <f>_xlfn.XLOOKUP(D21, Product_Master[SKU], Product_Master[Category], "Unknown SKU")</f>
        <v>Toiletry</v>
      </c>
      <c r="H21">
        <v>2</v>
      </c>
      <c r="I21">
        <f>Stock_Out_Log[[#This Row],[Quantity]] * _xlfn.XLOOKUP(Stock_Out_Log[[#This Row],[SKU]], Product_Master!C:C, Product_Master!G:G, 1)</f>
        <v>2</v>
      </c>
      <c r="J21" s="58">
        <f>_xlfn.XLOOKUP(D21, Product_Master[SKU], Product_Master[Unit Price], 0)</f>
        <v>8100</v>
      </c>
      <c r="K21" s="58">
        <f t="shared" si="1"/>
        <v>16200</v>
      </c>
      <c r="M21" t="s">
        <v>135</v>
      </c>
      <c r="O21" s="58">
        <v>16200</v>
      </c>
      <c r="Q21" s="58">
        <f>Stock_Out_Log[[#This Row],[Cash]]+Stock_Out_Log[[#This Row],[Transfer]]+Stock_Out_Log[[#This Row],[POS]]</f>
        <v>16200</v>
      </c>
      <c r="R21" s="58">
        <f>Stock_Out_Log[[#This Row],[Total Revenue]]-Stock_Out_Log[[#This Row],[Total Paid ]]</f>
        <v>0</v>
      </c>
      <c r="S21" s="58">
        <f>K21 - (H21 * _xlfn.XLOOKUP(D21, Product_Master!B:B, Product_Master!H:H, 0))</f>
        <v>16200</v>
      </c>
    </row>
    <row r="22" spans="2:19">
      <c r="B22" s="57">
        <v>46204</v>
      </c>
      <c r="C22" s="59" t="s">
        <v>154</v>
      </c>
      <c r="D22" t="s">
        <v>72</v>
      </c>
      <c r="E22" s="13" t="str">
        <f>_xlfn.XLOOKUP(D22, Product_Master[SKU], Product_Master[Parent SKU], "Unknown SKU")</f>
        <v>SKU-006</v>
      </c>
      <c r="F22" t="str">
        <f>_xlfn.XLOOKUP(D22, Product_Master[SKU], Product_Master[Product Name], "Unknown SKU")</f>
        <v>P6</v>
      </c>
      <c r="G22" t="str">
        <f>_xlfn.XLOOKUP(D22, Product_Master[SKU], Product_Master[Category], "Unknown SKU")</f>
        <v>Pasteries</v>
      </c>
      <c r="H22">
        <v>3</v>
      </c>
      <c r="I22">
        <f>Stock_Out_Log[[#This Row],[Quantity]] * _xlfn.XLOOKUP(Stock_Out_Log[[#This Row],[SKU]], Product_Master!C:C, Product_Master!G:G, 1)</f>
        <v>3</v>
      </c>
      <c r="J22" s="58">
        <f>_xlfn.XLOOKUP(D22, Product_Master[SKU], Product_Master[Unit Price], 0)</f>
        <v>7000</v>
      </c>
      <c r="K22" s="58">
        <f t="shared" si="1"/>
        <v>21000</v>
      </c>
      <c r="M22" t="s">
        <v>135</v>
      </c>
      <c r="N22" s="58">
        <v>21000</v>
      </c>
      <c r="Q22" s="58">
        <f>Stock_Out_Log[[#This Row],[Cash]]+Stock_Out_Log[[#This Row],[Transfer]]+Stock_Out_Log[[#This Row],[POS]]</f>
        <v>21000</v>
      </c>
      <c r="R22" s="58">
        <f>Stock_Out_Log[[#This Row],[Total Revenue]]-Stock_Out_Log[[#This Row],[Total Paid ]]</f>
        <v>0</v>
      </c>
      <c r="S22" s="58">
        <f>K22 - (H22 * _xlfn.XLOOKUP(D22, Product_Master!B:B, Product_Master!H:H, 0))</f>
        <v>21000</v>
      </c>
    </row>
    <row r="23" spans="2:19">
      <c r="B23" s="57">
        <v>46205</v>
      </c>
      <c r="C23" s="59" t="s">
        <v>155</v>
      </c>
      <c r="D23" t="s">
        <v>70</v>
      </c>
      <c r="E23" s="13" t="str">
        <f>_xlfn.XLOOKUP(D23, Product_Master[SKU], Product_Master[Parent SKU], "Unknown SKU")</f>
        <v>SKU-005</v>
      </c>
      <c r="F23" t="str">
        <f>_xlfn.XLOOKUP(D23, Product_Master[SKU], Product_Master[Product Name], "Unknown SKU")</f>
        <v>P5</v>
      </c>
      <c r="G23" t="str">
        <f>_xlfn.XLOOKUP(D23, Product_Master[SKU], Product_Master[Category], "Unknown SKU")</f>
        <v>Toiletry</v>
      </c>
      <c r="H23">
        <v>1</v>
      </c>
      <c r="I23">
        <f>Stock_Out_Log[[#This Row],[Quantity]] * _xlfn.XLOOKUP(Stock_Out_Log[[#This Row],[SKU]], Product_Master!C:C, Product_Master!G:G, 1)</f>
        <v>1</v>
      </c>
      <c r="J23" s="58">
        <f>_xlfn.XLOOKUP(D23, Product_Master[SKU], Product_Master[Unit Price], 0)</f>
        <v>4500</v>
      </c>
      <c r="K23" s="58">
        <f t="shared" si="1"/>
        <v>4500</v>
      </c>
      <c r="M23" t="s">
        <v>135</v>
      </c>
      <c r="P23" s="58">
        <v>4500</v>
      </c>
      <c r="Q23" s="58">
        <f>Stock_Out_Log[[#This Row],[Cash]]+Stock_Out_Log[[#This Row],[Transfer]]+Stock_Out_Log[[#This Row],[POS]]</f>
        <v>4500</v>
      </c>
      <c r="R23" s="58">
        <f>Stock_Out_Log[[#This Row],[Total Revenue]]-Stock_Out_Log[[#This Row],[Total Paid ]]</f>
        <v>0</v>
      </c>
      <c r="S23" s="58">
        <f>K23 - (H23 * _xlfn.XLOOKUP(D23, Product_Master!B:B, Product_Master!H:H, 0))</f>
        <v>4500</v>
      </c>
    </row>
    <row r="24" spans="2:19">
      <c r="C24" s="59" t="s">
        <v>156</v>
      </c>
      <c r="D24" t="s">
        <v>80</v>
      </c>
      <c r="E24" s="13" t="str">
        <f>_xlfn.XLOOKUP(D24, Product_Master[SKU], Product_Master[Parent SKU], "Unknown SKU")</f>
        <v>SKU-013</v>
      </c>
      <c r="F24" t="str">
        <f>_xlfn.XLOOKUP(D24, Product_Master[SKU], Product_Master[Product Name], "Unknown SKU")</f>
        <v>P13</v>
      </c>
      <c r="G24" t="str">
        <f>_xlfn.XLOOKUP(D24, Product_Master[SKU], Product_Master[Category], "Unknown SKU")</f>
        <v>Beverage</v>
      </c>
      <c r="H24">
        <v>52</v>
      </c>
      <c r="I24" s="13">
        <f>Stock_Out_Log[[#This Row],[Quantity]] * _xlfn.XLOOKUP(Stock_Out_Log[[#This Row],[SKU]], Product_Master!C:C, Product_Master!G:G, 1)</f>
        <v>52</v>
      </c>
      <c r="J24" s="58">
        <f>_xlfn.XLOOKUP(D24, Product_Master[SKU], Product_Master[Unit Price], 0)</f>
        <v>1000</v>
      </c>
      <c r="K24" s="58">
        <f>H24 * J24</f>
        <v>52000</v>
      </c>
      <c r="M24" t="s">
        <v>157</v>
      </c>
      <c r="N24" s="58">
        <v>20000</v>
      </c>
      <c r="P24" s="58">
        <v>32000</v>
      </c>
      <c r="Q24" s="58">
        <f>Stock_Out_Log[[#This Row],[Cash]]+Stock_Out_Log[[#This Row],[Transfer]]+Stock_Out_Log[[#This Row],[POS]]</f>
        <v>52000</v>
      </c>
      <c r="R24" s="58">
        <f>Stock_Out_Log[[#This Row],[Total Revenue]]-Stock_Out_Log[[#This Row],[Total Paid ]]</f>
        <v>0</v>
      </c>
      <c r="S24" s="58">
        <f>K24 - (H24 * _xlfn.XLOOKUP(D24, Product_Master!B:B, Product_Master!H:H, 0))</f>
        <v>52000</v>
      </c>
    </row>
    <row r="26" spans="2:19">
      <c r="B26" s="106"/>
      <c r="C26" s="14"/>
      <c r="D26" s="14"/>
      <c r="E26" s="14"/>
      <c r="F26" s="14"/>
    </row>
    <row r="27" spans="2:19">
      <c r="C27" s="15"/>
      <c r="D27" s="15"/>
      <c r="E27" s="15"/>
      <c r="F27" s="15"/>
    </row>
  </sheetData>
  <mergeCells count="1">
    <mergeCell ref="C1:E1"/>
  </mergeCells>
  <dataValidations count="1">
    <dataValidation allowBlank="1" showInputMessage="1" showErrorMessage="1" sqref="D2:E2" xr:uid="{41CD9203-ADA3-44FF-9437-A15B435E1BC1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5B969B-CEF8-45DD-A0BC-0011669500F1}">
          <x14:formula1>
            <xm:f>Product_Master!$C$5:$C$12</xm:f>
          </x14:formula1>
          <xm:sqref>E3:E25 E28:E1048576</xm:sqref>
        </x14:dataValidation>
        <x14:dataValidation type="list" allowBlank="1" showInputMessage="1" showErrorMessage="1" xr:uid="{0A10352C-53EC-45C3-9EE2-5971EE85D4ED}">
          <x14:formula1>
            <xm:f>Product_Master!$C$5:$C$1000</xm:f>
          </x14:formula1>
          <xm:sqref>D3:D1048576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E066-4C1C-4409-A81C-5C7CF36B01E2}">
  <dimension ref="A1:O19"/>
  <sheetViews>
    <sheetView showGridLines="0" workbookViewId="0">
      <selection activeCell="D5" sqref="D5"/>
    </sheetView>
  </sheetViews>
  <sheetFormatPr defaultRowHeight="15"/>
  <cols>
    <col min="1" max="1" width="16.140625" customWidth="1"/>
    <col min="2" max="2" width="8.85546875" bestFit="1" customWidth="1"/>
    <col min="3" max="3" width="24" bestFit="1" customWidth="1"/>
    <col min="4" max="4" width="14" bestFit="1" customWidth="1"/>
    <col min="5" max="5" width="14.140625" customWidth="1"/>
    <col min="8" max="8" width="13.85546875" customWidth="1"/>
    <col min="9" max="9" width="17.28515625" bestFit="1" customWidth="1"/>
    <col min="10" max="10" width="16.42578125" bestFit="1" customWidth="1"/>
    <col min="11" max="11" width="12.42578125" bestFit="1" customWidth="1"/>
    <col min="12" max="12" width="21.7109375" bestFit="1" customWidth="1"/>
    <col min="13" max="13" width="16.7109375" customWidth="1"/>
    <col min="14" max="14" width="14.42578125" customWidth="1"/>
  </cols>
  <sheetData>
    <row r="1" spans="1:15" ht="40.5" customHeight="1">
      <c r="C1" s="76">
        <v>46190</v>
      </c>
    </row>
    <row r="2" spans="1:15" ht="18" customHeight="1">
      <c r="B2" s="123" t="s">
        <v>158</v>
      </c>
      <c r="C2" s="124"/>
      <c r="D2" s="124"/>
      <c r="E2" s="124"/>
      <c r="F2" s="124"/>
      <c r="G2" s="123" t="s">
        <v>159</v>
      </c>
      <c r="H2" s="124"/>
      <c r="I2" s="124"/>
      <c r="J2" s="124"/>
      <c r="K2" s="124"/>
      <c r="L2" s="124"/>
      <c r="M2" s="124"/>
      <c r="N2" s="125"/>
    </row>
    <row r="3" spans="1:15">
      <c r="B3" s="118" t="s">
        <v>160</v>
      </c>
      <c r="C3" s="63" t="s">
        <v>161</v>
      </c>
      <c r="D3" s="63" t="s">
        <v>162</v>
      </c>
      <c r="E3" s="64" t="s">
        <v>163</v>
      </c>
      <c r="F3" s="89"/>
      <c r="G3" s="83"/>
      <c r="H3" s="69"/>
      <c r="I3" s="69"/>
      <c r="J3" s="69"/>
      <c r="K3" s="69"/>
      <c r="L3" s="69"/>
      <c r="M3" s="69"/>
      <c r="N3" s="81"/>
    </row>
    <row r="4" spans="1:15">
      <c r="B4" s="118"/>
      <c r="C4" s="119" t="s">
        <v>135</v>
      </c>
      <c r="D4" s="119"/>
      <c r="E4" s="120"/>
      <c r="F4" s="89"/>
      <c r="G4" s="83"/>
      <c r="H4" s="127" t="s">
        <v>164</v>
      </c>
      <c r="I4" s="127"/>
      <c r="J4" s="127"/>
      <c r="K4" s="69"/>
      <c r="L4" s="127" t="s">
        <v>165</v>
      </c>
      <c r="M4" s="127"/>
      <c r="N4" s="128"/>
      <c r="O4" s="2"/>
    </row>
    <row r="5" spans="1:15">
      <c r="B5" s="118"/>
      <c r="C5" s="63" t="s">
        <v>166</v>
      </c>
      <c r="D5" s="65">
        <v>31500</v>
      </c>
      <c r="E5" s="65">
        <f>SUMIFS(Sales!P:P, Sales!B:B, $C$1, Sales!M:M, C4)</f>
        <v>31500</v>
      </c>
      <c r="F5" s="89"/>
      <c r="G5" s="83"/>
      <c r="H5" s="63" t="s">
        <v>167</v>
      </c>
      <c r="I5" s="63" t="s">
        <v>168</v>
      </c>
      <c r="J5" s="63" t="s">
        <v>169</v>
      </c>
      <c r="K5" s="70"/>
      <c r="L5" s="71" t="s">
        <v>170</v>
      </c>
      <c r="M5" s="71" t="s">
        <v>171</v>
      </c>
      <c r="N5" s="84" t="s">
        <v>172</v>
      </c>
    </row>
    <row r="6" spans="1:15">
      <c r="B6" s="118"/>
      <c r="C6" s="63" t="s">
        <v>173</v>
      </c>
      <c r="D6" s="65">
        <v>112700</v>
      </c>
      <c r="E6" s="65">
        <f>SUMIFS(Sales!N:N, Sales!B:B, $C$1, Sales!M:M, C4)</f>
        <v>78000</v>
      </c>
      <c r="F6" s="89"/>
      <c r="G6" s="83"/>
      <c r="H6" s="63" t="s">
        <v>160</v>
      </c>
      <c r="I6" s="65">
        <f>D6</f>
        <v>112700</v>
      </c>
      <c r="J6" s="65">
        <f>D7</f>
        <v>153000</v>
      </c>
      <c r="K6" s="72"/>
      <c r="L6" s="63" t="s">
        <v>174</v>
      </c>
      <c r="M6" s="65">
        <v>65000</v>
      </c>
      <c r="N6" s="85">
        <v>87700</v>
      </c>
    </row>
    <row r="7" spans="1:15">
      <c r="B7" s="118"/>
      <c r="C7" s="63" t="s">
        <v>169</v>
      </c>
      <c r="D7" s="65">
        <v>153000</v>
      </c>
      <c r="E7" s="65">
        <f>SUMIFS(Sales!O:O, Sales!B:B, $C$1, Sales!M:M, C4)</f>
        <v>187710</v>
      </c>
      <c r="F7" s="89"/>
      <c r="G7" s="83"/>
      <c r="H7" s="63" t="s">
        <v>175</v>
      </c>
      <c r="I7" s="72">
        <f>D15</f>
        <v>0</v>
      </c>
      <c r="J7" s="72">
        <f>D16</f>
        <v>0</v>
      </c>
      <c r="K7" s="72"/>
      <c r="L7" s="63" t="s">
        <v>176</v>
      </c>
      <c r="M7" s="65">
        <v>13300</v>
      </c>
      <c r="N7" s="85">
        <v>100000</v>
      </c>
    </row>
    <row r="8" spans="1:15">
      <c r="B8" s="118"/>
      <c r="C8" s="63" t="s">
        <v>177</v>
      </c>
      <c r="D8" s="65">
        <f>SUM(D5:D7)</f>
        <v>297200</v>
      </c>
      <c r="E8" s="65">
        <f>SUM(E5:E7)</f>
        <v>297210</v>
      </c>
      <c r="F8" s="89"/>
      <c r="G8" s="83"/>
      <c r="H8" s="63" t="s">
        <v>178</v>
      </c>
      <c r="I8" s="65">
        <f>SUM(I6:I7)</f>
        <v>112700</v>
      </c>
      <c r="J8" s="65">
        <f>SUM(J6:J7)</f>
        <v>153000</v>
      </c>
      <c r="K8" s="72"/>
      <c r="L8" s="63" t="s">
        <v>178</v>
      </c>
      <c r="M8" s="65">
        <f>M7+M6</f>
        <v>78300</v>
      </c>
      <c r="N8" s="85">
        <f>N7+N6</f>
        <v>187700</v>
      </c>
    </row>
    <row r="9" spans="1:15">
      <c r="B9" s="118"/>
      <c r="C9" s="63" t="s">
        <v>179</v>
      </c>
      <c r="D9" s="121">
        <f>D8-E8</f>
        <v>-10</v>
      </c>
      <c r="E9" s="122"/>
      <c r="F9" s="89"/>
      <c r="G9" s="83"/>
      <c r="H9" s="63" t="s">
        <v>22</v>
      </c>
      <c r="I9" s="121">
        <f>I8+J8</f>
        <v>265700</v>
      </c>
      <c r="J9" s="122"/>
      <c r="K9" s="74">
        <f>M9-I9</f>
        <v>300</v>
      </c>
      <c r="L9" s="63" t="s">
        <v>22</v>
      </c>
      <c r="M9" s="121">
        <f>M8+N8</f>
        <v>266000</v>
      </c>
      <c r="N9" s="126"/>
    </row>
    <row r="10" spans="1:15">
      <c r="A10" s="2"/>
      <c r="B10" s="79"/>
      <c r="C10" s="69"/>
      <c r="D10" s="69"/>
      <c r="E10" s="69"/>
      <c r="F10" s="89"/>
      <c r="G10" s="83"/>
      <c r="H10" s="69"/>
      <c r="I10" s="69"/>
      <c r="J10" s="69"/>
      <c r="K10" s="69"/>
      <c r="L10" s="69"/>
      <c r="M10" s="69"/>
      <c r="N10" s="81"/>
    </row>
    <row r="11" spans="1:15">
      <c r="A11" s="2"/>
      <c r="B11" s="80"/>
      <c r="C11" s="67"/>
      <c r="D11" s="67"/>
      <c r="E11" s="68"/>
      <c r="F11" s="69"/>
      <c r="G11" s="83"/>
      <c r="H11" s="69"/>
      <c r="I11" s="69"/>
      <c r="J11" s="69"/>
      <c r="K11" s="69"/>
      <c r="L11" s="69"/>
      <c r="M11" s="69"/>
      <c r="N11" s="81"/>
    </row>
    <row r="12" spans="1:15">
      <c r="B12" s="132" t="s">
        <v>175</v>
      </c>
      <c r="C12" s="63" t="s">
        <v>161</v>
      </c>
      <c r="D12" s="63" t="s">
        <v>162</v>
      </c>
      <c r="E12" s="64" t="s">
        <v>163</v>
      </c>
      <c r="F12" s="89"/>
      <c r="G12" s="83"/>
      <c r="H12" s="69"/>
      <c r="I12" s="129" t="s">
        <v>180</v>
      </c>
      <c r="J12" s="129"/>
      <c r="K12" s="69"/>
      <c r="L12" s="129" t="s">
        <v>181</v>
      </c>
      <c r="M12" s="129"/>
      <c r="N12" s="81"/>
    </row>
    <row r="13" spans="1:15">
      <c r="B13" s="133"/>
      <c r="C13" s="120" t="s">
        <v>182</v>
      </c>
      <c r="D13" s="130"/>
      <c r="E13" s="131"/>
      <c r="F13" s="89"/>
      <c r="G13" s="83"/>
      <c r="H13" s="69"/>
      <c r="I13" s="63" t="s">
        <v>183</v>
      </c>
      <c r="J13" s="65">
        <f>E5+E14</f>
        <v>31500</v>
      </c>
      <c r="K13" s="69"/>
      <c r="L13" s="71" t="s">
        <v>184</v>
      </c>
      <c r="M13" s="73">
        <f>D5+D14</f>
        <v>31500</v>
      </c>
      <c r="N13" s="81"/>
    </row>
    <row r="14" spans="1:15">
      <c r="B14" s="133"/>
      <c r="C14" s="63" t="s">
        <v>166</v>
      </c>
      <c r="D14" s="65"/>
      <c r="E14" s="65">
        <f>SUMIFS(Sales!P:P, Sales!B:B, $C$1, Sales!M:M, C13)</f>
        <v>0</v>
      </c>
      <c r="F14" s="89"/>
      <c r="G14" s="83"/>
      <c r="H14" s="69"/>
      <c r="I14" s="63" t="s">
        <v>185</v>
      </c>
      <c r="J14" s="65">
        <f>D5+D14</f>
        <v>31500</v>
      </c>
      <c r="K14" s="69"/>
      <c r="L14" s="63" t="s">
        <v>186</v>
      </c>
      <c r="M14" s="73">
        <f>D6+D15</f>
        <v>112700</v>
      </c>
      <c r="N14" s="81"/>
    </row>
    <row r="15" spans="1:15">
      <c r="B15" s="133"/>
      <c r="C15" s="63" t="s">
        <v>173</v>
      </c>
      <c r="D15" s="65"/>
      <c r="E15" s="65">
        <f>SUMIFS(Sales!N:N, Sales!B:B, $C$1, Sales!M:M, C13)</f>
        <v>0</v>
      </c>
      <c r="F15" s="89"/>
      <c r="G15" s="83"/>
      <c r="H15" s="69"/>
      <c r="I15" s="63" t="s">
        <v>187</v>
      </c>
      <c r="J15" s="65"/>
      <c r="K15" s="69"/>
      <c r="L15" s="63" t="s">
        <v>188</v>
      </c>
      <c r="M15" s="73">
        <f>D7+D16</f>
        <v>153000</v>
      </c>
      <c r="N15" s="81"/>
    </row>
    <row r="16" spans="1:15">
      <c r="B16" s="133"/>
      <c r="C16" s="63" t="s">
        <v>169</v>
      </c>
      <c r="D16" s="65"/>
      <c r="E16" s="65">
        <f>SUMIFS(Sales!O:O, Sales!B:B, $C$1, Sales!M:M, C13)</f>
        <v>0</v>
      </c>
      <c r="F16" s="89"/>
      <c r="G16" s="83"/>
      <c r="H16" s="69"/>
      <c r="I16" s="63" t="s">
        <v>189</v>
      </c>
      <c r="J16" s="65">
        <f>J14-J15</f>
        <v>31500</v>
      </c>
      <c r="K16" s="69"/>
      <c r="L16" s="75" t="s">
        <v>190</v>
      </c>
      <c r="M16" s="78">
        <f>SUM(M13:M15)</f>
        <v>297200</v>
      </c>
      <c r="N16" s="81"/>
    </row>
    <row r="17" spans="2:14">
      <c r="B17" s="133"/>
      <c r="C17" s="63" t="s">
        <v>177</v>
      </c>
      <c r="D17" s="65">
        <f>SUM(D14:D16)</f>
        <v>0</v>
      </c>
      <c r="E17" s="65">
        <f>SUM(E14:E16)</f>
        <v>0</v>
      </c>
      <c r="F17" s="89"/>
      <c r="G17" s="83"/>
      <c r="H17" s="69"/>
      <c r="I17" s="69"/>
      <c r="J17" s="69"/>
      <c r="K17" s="69"/>
      <c r="L17" s="69"/>
      <c r="M17" s="69"/>
      <c r="N17" s="81"/>
    </row>
    <row r="18" spans="2:14">
      <c r="B18" s="134"/>
      <c r="C18" s="82" t="s">
        <v>179</v>
      </c>
      <c r="D18" s="135">
        <f>D17-E17</f>
        <v>0</v>
      </c>
      <c r="E18" s="136"/>
      <c r="F18" s="90"/>
      <c r="G18" s="86"/>
      <c r="H18" s="87"/>
      <c r="I18" s="87"/>
      <c r="J18" s="87"/>
      <c r="K18" s="87"/>
      <c r="L18" s="87"/>
      <c r="M18" s="87"/>
      <c r="N18" s="88"/>
    </row>
    <row r="19" spans="2:14">
      <c r="G19" s="66"/>
      <c r="H19" s="66"/>
      <c r="I19" s="66"/>
      <c r="J19" s="66"/>
      <c r="K19" s="66"/>
      <c r="L19" s="66"/>
      <c r="M19" s="66"/>
      <c r="N19" s="66"/>
    </row>
  </sheetData>
  <mergeCells count="14">
    <mergeCell ref="I12:J12"/>
    <mergeCell ref="L12:M12"/>
    <mergeCell ref="C13:E13"/>
    <mergeCell ref="B12:B18"/>
    <mergeCell ref="D18:E18"/>
    <mergeCell ref="B3:B9"/>
    <mergeCell ref="C4:E4"/>
    <mergeCell ref="D9:E9"/>
    <mergeCell ref="B2:F2"/>
    <mergeCell ref="G2:N2"/>
    <mergeCell ref="I9:J9"/>
    <mergeCell ref="M9:N9"/>
    <mergeCell ref="H4:J4"/>
    <mergeCell ref="L4:N4"/>
  </mergeCells>
  <conditionalFormatting sqref="D9:E9">
    <cfRule type="cellIs" dxfId="18" priority="4" operator="lessThan">
      <formula>0</formula>
    </cfRule>
  </conditionalFormatting>
  <conditionalFormatting sqref="D9:E9">
    <cfRule type="cellIs" dxfId="17" priority="3" operator="greaterThan">
      <formula>0</formula>
    </cfRule>
  </conditionalFormatting>
  <conditionalFormatting sqref="K9">
    <cfRule type="cellIs" dxfId="16" priority="2" operator="greaterThan">
      <formula>0</formula>
    </cfRule>
  </conditionalFormatting>
  <conditionalFormatting sqref="K9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3C08-6FCE-47A2-BD04-1FDDAE3A3C7B}">
  <dimension ref="A1:E8"/>
  <sheetViews>
    <sheetView showGridLines="0" workbookViewId="0">
      <selection activeCell="D6" sqref="D6"/>
    </sheetView>
  </sheetViews>
  <sheetFormatPr defaultRowHeight="15"/>
  <cols>
    <col min="1" max="1" width="17.28515625" style="77" customWidth="1"/>
    <col min="2" max="2" width="26.7109375" bestFit="1" customWidth="1"/>
    <col min="3" max="3" width="14.85546875" customWidth="1"/>
    <col min="4" max="4" width="15.85546875" bestFit="1" customWidth="1"/>
    <col min="5" max="5" width="10.42578125" bestFit="1" customWidth="1"/>
  </cols>
  <sheetData>
    <row r="1" spans="1:5" ht="34.5">
      <c r="A1" s="107"/>
      <c r="B1" s="93" t="s">
        <v>191</v>
      </c>
    </row>
    <row r="2" spans="1:5">
      <c r="A2" s="92" t="s">
        <v>5</v>
      </c>
      <c r="B2" s="21" t="s">
        <v>192</v>
      </c>
      <c r="C2" s="21" t="s">
        <v>47</v>
      </c>
      <c r="D2" s="21" t="s">
        <v>193</v>
      </c>
      <c r="E2" s="21" t="s">
        <v>10</v>
      </c>
    </row>
    <row r="3" spans="1:5">
      <c r="A3" s="141">
        <v>46023</v>
      </c>
      <c r="B3" s="142" t="s">
        <v>194</v>
      </c>
      <c r="C3" s="142" t="s">
        <v>195</v>
      </c>
      <c r="D3" s="142" t="s">
        <v>130</v>
      </c>
      <c r="E3" s="143">
        <v>2000</v>
      </c>
    </row>
    <row r="4" spans="1:5">
      <c r="A4" s="141">
        <v>46024</v>
      </c>
      <c r="B4" s="142" t="s">
        <v>196</v>
      </c>
      <c r="C4" s="142" t="s">
        <v>187</v>
      </c>
      <c r="D4" s="142" t="s">
        <v>130</v>
      </c>
      <c r="E4" s="142">
        <v>1000</v>
      </c>
    </row>
    <row r="5" spans="1:5">
      <c r="A5" s="141">
        <v>46025</v>
      </c>
      <c r="B5" t="s">
        <v>197</v>
      </c>
      <c r="C5" t="s">
        <v>187</v>
      </c>
      <c r="D5" t="s">
        <v>130</v>
      </c>
      <c r="E5">
        <v>500</v>
      </c>
    </row>
    <row r="6" spans="1:5">
      <c r="A6" s="141"/>
      <c r="B6" s="14"/>
      <c r="C6" s="14"/>
      <c r="D6" s="14"/>
      <c r="E6" s="14"/>
    </row>
    <row r="7" spans="1:5">
      <c r="A7" s="141"/>
      <c r="E7" s="15"/>
    </row>
    <row r="8" spans="1:5">
      <c r="A8" s="14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E59F-A0E2-4B14-939A-07E32676F57F}">
  <dimension ref="B1:O36"/>
  <sheetViews>
    <sheetView showGridLines="0" workbookViewId="0">
      <selection activeCell="E3" sqref="E3"/>
    </sheetView>
  </sheetViews>
  <sheetFormatPr defaultRowHeight="15"/>
  <cols>
    <col min="2" max="2" width="33.42578125" bestFit="1" customWidth="1"/>
    <col min="3" max="3" width="16.28515625" bestFit="1" customWidth="1"/>
    <col min="6" max="6" width="31.7109375" bestFit="1" customWidth="1"/>
    <col min="7" max="7" width="21.85546875" customWidth="1"/>
    <col min="8" max="8" width="11.5703125" customWidth="1"/>
    <col min="10" max="10" width="22" bestFit="1" customWidth="1"/>
    <col min="11" max="11" width="24" bestFit="1" customWidth="1"/>
    <col min="12" max="12" width="24" customWidth="1"/>
    <col min="14" max="14" width="20.5703125" bestFit="1" customWidth="1"/>
    <col min="15" max="15" width="36.5703125" bestFit="1" customWidth="1"/>
  </cols>
  <sheetData>
    <row r="1" spans="2:15" ht="87.75" customHeight="1"/>
    <row r="2" spans="2:15">
      <c r="B2" s="137" t="s">
        <v>198</v>
      </c>
      <c r="C2" s="137"/>
    </row>
    <row r="3" spans="2:15">
      <c r="B3" s="22" t="s">
        <v>199</v>
      </c>
      <c r="C3" s="17"/>
      <c r="F3" s="138" t="s">
        <v>200</v>
      </c>
      <c r="G3" s="138"/>
      <c r="J3" s="139" t="s">
        <v>201</v>
      </c>
      <c r="K3" s="139"/>
      <c r="L3" s="110"/>
    </row>
    <row r="4" spans="2:15">
      <c r="B4" s="17" t="s">
        <v>202</v>
      </c>
      <c r="C4" s="17"/>
      <c r="F4" s="17" t="s">
        <v>203</v>
      </c>
      <c r="G4" s="24" t="s">
        <v>204</v>
      </c>
      <c r="J4" s="30" t="s">
        <v>130</v>
      </c>
      <c r="K4" s="31" t="s">
        <v>205</v>
      </c>
      <c r="L4" s="102"/>
    </row>
    <row r="5" spans="2:15">
      <c r="B5" s="17" t="s">
        <v>206</v>
      </c>
      <c r="C5" s="17">
        <f>C3-C4</f>
        <v>0</v>
      </c>
      <c r="F5" s="17" t="s">
        <v>207</v>
      </c>
      <c r="G5" s="24">
        <f>C28</f>
        <v>0</v>
      </c>
      <c r="J5" s="26" t="s">
        <v>208</v>
      </c>
      <c r="K5" s="18" t="s">
        <v>204</v>
      </c>
      <c r="L5" s="2"/>
      <c r="N5" s="14"/>
      <c r="O5" s="19"/>
    </row>
    <row r="6" spans="2:15">
      <c r="B6" s="17"/>
      <c r="C6" s="17"/>
      <c r="F6" s="17" t="s">
        <v>209</v>
      </c>
      <c r="G6" s="17"/>
      <c r="J6" s="26" t="s">
        <v>210</v>
      </c>
      <c r="K6" s="18" t="s">
        <v>204</v>
      </c>
      <c r="L6" s="2"/>
    </row>
    <row r="7" spans="2:15">
      <c r="B7" s="17" t="s">
        <v>211</v>
      </c>
      <c r="C7" s="17"/>
      <c r="F7" s="17" t="s">
        <v>212</v>
      </c>
      <c r="G7" s="17"/>
      <c r="J7" s="26" t="s">
        <v>213</v>
      </c>
      <c r="K7" s="18" t="s">
        <v>204</v>
      </c>
      <c r="L7" s="2"/>
    </row>
    <row r="8" spans="2:15">
      <c r="B8" s="17" t="s">
        <v>214</v>
      </c>
      <c r="C8" s="17"/>
      <c r="F8" s="17" t="s">
        <v>215</v>
      </c>
      <c r="G8" s="17"/>
      <c r="J8" s="27" t="s">
        <v>216</v>
      </c>
      <c r="K8" s="29">
        <f>SUM(K4:K7)</f>
        <v>0</v>
      </c>
      <c r="L8" s="103"/>
    </row>
    <row r="9" spans="2:15">
      <c r="B9" s="17" t="s">
        <v>217</v>
      </c>
      <c r="C9" s="17"/>
      <c r="F9" s="17" t="s">
        <v>218</v>
      </c>
      <c r="G9" s="24">
        <f>SUM(G6:G8)</f>
        <v>0</v>
      </c>
      <c r="J9" s="26"/>
      <c r="K9" s="18"/>
      <c r="L9" s="2"/>
    </row>
    <row r="10" spans="2:15">
      <c r="B10" s="22" t="s">
        <v>219</v>
      </c>
      <c r="C10" s="17">
        <f>C7+C8-C9</f>
        <v>0</v>
      </c>
      <c r="F10" s="17" t="s">
        <v>220</v>
      </c>
      <c r="G10" s="24">
        <f>G9+G5</f>
        <v>0</v>
      </c>
      <c r="J10" s="26" t="s">
        <v>221</v>
      </c>
      <c r="K10" s="18" t="s">
        <v>204</v>
      </c>
      <c r="L10" s="2"/>
    </row>
    <row r="11" spans="2:15">
      <c r="B11" s="17"/>
      <c r="C11" s="17"/>
      <c r="F11" s="17" t="s">
        <v>222</v>
      </c>
      <c r="G11" s="24" t="s">
        <v>223</v>
      </c>
      <c r="J11" s="26" t="s">
        <v>224</v>
      </c>
      <c r="K11" s="18" t="s">
        <v>204</v>
      </c>
      <c r="L11" s="2"/>
    </row>
    <row r="12" spans="2:15">
      <c r="B12" s="22" t="s">
        <v>225</v>
      </c>
      <c r="C12" s="17">
        <f>C5-C10</f>
        <v>0</v>
      </c>
      <c r="F12" s="17" t="s">
        <v>226</v>
      </c>
      <c r="G12" s="25" t="s">
        <v>204</v>
      </c>
      <c r="J12" s="26" t="s">
        <v>227</v>
      </c>
      <c r="K12" s="18" t="s">
        <v>204</v>
      </c>
      <c r="L12" s="2"/>
    </row>
    <row r="13" spans="2:15">
      <c r="B13" s="17"/>
      <c r="C13" s="17"/>
      <c r="F13" s="17" t="s">
        <v>228</v>
      </c>
      <c r="G13" s="24">
        <f>SUM(G10:G12)</f>
        <v>0</v>
      </c>
      <c r="J13" s="27" t="s">
        <v>229</v>
      </c>
      <c r="K13" s="29">
        <f>SUM(K10:K12)</f>
        <v>0</v>
      </c>
      <c r="L13" s="103"/>
    </row>
    <row r="14" spans="2:15">
      <c r="B14" s="17" t="s">
        <v>230</v>
      </c>
      <c r="C14" s="17"/>
      <c r="F14" s="17" t="s">
        <v>231</v>
      </c>
      <c r="G14" s="24" t="e">
        <f>G13+G4</f>
        <v>#VALUE!</v>
      </c>
      <c r="J14" s="26"/>
      <c r="K14" s="18"/>
      <c r="L14" s="2"/>
    </row>
    <row r="15" spans="2:15">
      <c r="B15" s="17" t="s">
        <v>232</v>
      </c>
      <c r="C15" s="17"/>
      <c r="J15" s="26" t="s">
        <v>233</v>
      </c>
      <c r="K15" s="18" t="s">
        <v>204</v>
      </c>
      <c r="L15" s="2"/>
    </row>
    <row r="16" spans="2:15">
      <c r="B16" s="17" t="s">
        <v>234</v>
      </c>
      <c r="C16" s="17"/>
      <c r="J16" s="26" t="s">
        <v>235</v>
      </c>
      <c r="K16" s="28" t="s">
        <v>236</v>
      </c>
      <c r="L16" s="102"/>
    </row>
    <row r="17" spans="2:12">
      <c r="B17" s="17" t="s">
        <v>237</v>
      </c>
      <c r="C17" s="17"/>
      <c r="J17" s="32" t="s">
        <v>238</v>
      </c>
      <c r="K17" s="33">
        <f>SUM(K15:K16)</f>
        <v>0</v>
      </c>
      <c r="L17" s="103"/>
    </row>
    <row r="18" spans="2:12">
      <c r="B18" s="17" t="s">
        <v>195</v>
      </c>
      <c r="C18" s="17"/>
      <c r="F18" s="14"/>
      <c r="G18" s="14"/>
      <c r="H18" s="14"/>
    </row>
    <row r="19" spans="2:12">
      <c r="B19" s="17" t="s">
        <v>239</v>
      </c>
      <c r="C19" s="17"/>
      <c r="F19" s="14"/>
      <c r="G19" s="14"/>
    </row>
    <row r="20" spans="2:12">
      <c r="B20" s="22" t="s">
        <v>240</v>
      </c>
      <c r="C20" s="17">
        <f>SUM(C14:C19)</f>
        <v>0</v>
      </c>
      <c r="G20" s="20"/>
    </row>
    <row r="21" spans="2:12">
      <c r="B21" s="17"/>
      <c r="C21" s="17"/>
    </row>
    <row r="22" spans="2:12">
      <c r="B22" s="23" t="s">
        <v>241</v>
      </c>
      <c r="C22" s="17">
        <f>C12-C20</f>
        <v>0</v>
      </c>
    </row>
    <row r="23" spans="2:12">
      <c r="B23" s="24"/>
      <c r="C23" s="17"/>
    </row>
    <row r="24" spans="2:12">
      <c r="B24" s="24" t="s">
        <v>242</v>
      </c>
      <c r="C24" s="17"/>
      <c r="F24" s="14"/>
    </row>
    <row r="25" spans="2:12" ht="15" customHeight="1">
      <c r="B25" s="17" t="s">
        <v>243</v>
      </c>
      <c r="C25" s="17">
        <f>C24+C22</f>
        <v>0</v>
      </c>
    </row>
    <row r="26" spans="2:12">
      <c r="B26" s="17" t="s">
        <v>244</v>
      </c>
      <c r="C26" s="17"/>
    </row>
    <row r="27" spans="2:12">
      <c r="B27" s="17"/>
      <c r="C27" s="17"/>
      <c r="F27" s="14"/>
    </row>
    <row r="28" spans="2:12">
      <c r="B28" s="22" t="s">
        <v>133</v>
      </c>
      <c r="C28" s="17">
        <f>C25-C26</f>
        <v>0</v>
      </c>
    </row>
    <row r="29" spans="2:12">
      <c r="C29" s="2"/>
      <c r="G29" s="20"/>
    </row>
    <row r="30" spans="2:12">
      <c r="F30" s="14"/>
    </row>
    <row r="34" spans="6:6">
      <c r="F34" s="14"/>
    </row>
    <row r="35" spans="6:6">
      <c r="F35" s="14"/>
    </row>
    <row r="36" spans="6:6">
      <c r="F36" s="14"/>
    </row>
  </sheetData>
  <mergeCells count="3">
    <mergeCell ref="B2:C2"/>
    <mergeCell ref="F3:G3"/>
    <mergeCell ref="J3:K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7598-81E5-4699-A2D0-D0F66AE78AA8}">
  <dimension ref="B1:N16"/>
  <sheetViews>
    <sheetView showGridLines="0" workbookViewId="0">
      <selection activeCell="N12" sqref="N12"/>
    </sheetView>
  </sheetViews>
  <sheetFormatPr defaultRowHeight="15"/>
  <cols>
    <col min="1" max="1" width="5.140625" customWidth="1"/>
    <col min="2" max="2" width="27.5703125" bestFit="1" customWidth="1"/>
    <col min="3" max="3" width="24.85546875" customWidth="1"/>
    <col min="4" max="4" width="19.7109375" bestFit="1" customWidth="1"/>
    <col min="5" max="5" width="13.85546875" bestFit="1" customWidth="1"/>
    <col min="6" max="6" width="13.42578125" bestFit="1" customWidth="1"/>
    <col min="7" max="7" width="17.5703125" bestFit="1" customWidth="1"/>
    <col min="8" max="8" width="14.5703125" bestFit="1" customWidth="1"/>
    <col min="9" max="9" width="12.28515625" bestFit="1" customWidth="1"/>
    <col min="10" max="10" width="7.7109375" bestFit="1" customWidth="1"/>
    <col min="11" max="11" width="17.42578125" bestFit="1" customWidth="1"/>
    <col min="12" max="12" width="7.85546875" bestFit="1" customWidth="1"/>
    <col min="13" max="13" width="16.140625" style="58" bestFit="1" customWidth="1"/>
    <col min="14" max="14" width="13" bestFit="1" customWidth="1"/>
  </cols>
  <sheetData>
    <row r="1" spans="2:14" ht="34.5">
      <c r="C1" s="95" t="s">
        <v>245</v>
      </c>
    </row>
    <row r="2" spans="2:14" s="35" customFormat="1" ht="18.75">
      <c r="B2" s="35" t="s">
        <v>246</v>
      </c>
      <c r="C2" s="35" t="s">
        <v>247</v>
      </c>
      <c r="D2" s="35" t="s">
        <v>248</v>
      </c>
      <c r="E2" s="35" t="s">
        <v>249</v>
      </c>
      <c r="F2" s="35" t="s">
        <v>250</v>
      </c>
      <c r="G2" s="35" t="s">
        <v>251</v>
      </c>
      <c r="H2" s="35" t="s">
        <v>252</v>
      </c>
      <c r="I2" s="35" t="s">
        <v>253</v>
      </c>
      <c r="J2" s="35" t="s">
        <v>254</v>
      </c>
      <c r="K2" s="35" t="s">
        <v>255</v>
      </c>
      <c r="L2" s="35" t="s">
        <v>256</v>
      </c>
      <c r="M2" s="96" t="s">
        <v>257</v>
      </c>
      <c r="N2" s="35" t="s">
        <v>258</v>
      </c>
    </row>
    <row r="3" spans="2:14">
      <c r="B3" t="s">
        <v>259</v>
      </c>
    </row>
    <row r="4" spans="2:14">
      <c r="B4" t="s">
        <v>260</v>
      </c>
      <c r="C4" t="s">
        <v>261</v>
      </c>
      <c r="D4" t="s">
        <v>262</v>
      </c>
      <c r="E4" s="15">
        <v>10000</v>
      </c>
      <c r="F4" s="15"/>
      <c r="L4">
        <v>5000</v>
      </c>
      <c r="M4" s="58">
        <v>500000</v>
      </c>
      <c r="N4" s="15">
        <f>M4-E4+F4-G4-H4-I4-J4-K4-L4</f>
        <v>485000</v>
      </c>
    </row>
    <row r="5" spans="2:14">
      <c r="B5" t="s">
        <v>263</v>
      </c>
      <c r="C5" t="s">
        <v>264</v>
      </c>
      <c r="D5" t="s">
        <v>265</v>
      </c>
      <c r="E5" s="15">
        <v>10000</v>
      </c>
      <c r="F5" s="15"/>
      <c r="G5">
        <v>1000</v>
      </c>
      <c r="M5" s="58">
        <v>400000</v>
      </c>
      <c r="N5" s="15">
        <f>M5-E5+F5-G5-H5-I5-J5-K5-L5</f>
        <v>389000</v>
      </c>
    </row>
    <row r="6" spans="2:14">
      <c r="E6" s="15"/>
      <c r="F6" s="15"/>
      <c r="N6" s="15"/>
    </row>
    <row r="7" spans="2:14">
      <c r="B7" t="s">
        <v>43</v>
      </c>
      <c r="E7" s="15"/>
      <c r="F7" s="15"/>
      <c r="N7" s="15"/>
    </row>
    <row r="8" spans="2:14">
      <c r="B8" t="s">
        <v>266</v>
      </c>
      <c r="C8" t="s">
        <v>267</v>
      </c>
      <c r="D8" t="s">
        <v>268</v>
      </c>
      <c r="E8" s="15">
        <v>10000</v>
      </c>
      <c r="F8" s="15"/>
      <c r="G8">
        <v>500</v>
      </c>
      <c r="M8" s="58">
        <v>350000</v>
      </c>
      <c r="N8" s="15">
        <f t="shared" ref="N6:N9" si="0">M8-E8+F8-G8-H8-I8-J8-K8-L8</f>
        <v>339500</v>
      </c>
    </row>
    <row r="9" spans="2:14">
      <c r="B9" t="s">
        <v>269</v>
      </c>
      <c r="C9" t="s">
        <v>270</v>
      </c>
      <c r="D9" t="s">
        <v>271</v>
      </c>
      <c r="E9" s="15">
        <v>10000</v>
      </c>
      <c r="F9" s="15"/>
      <c r="H9">
        <v>4000</v>
      </c>
      <c r="M9" s="58">
        <v>300000</v>
      </c>
      <c r="N9" s="15">
        <f t="shared" si="0"/>
        <v>286000</v>
      </c>
    </row>
    <row r="16" spans="2:14">
      <c r="G16" s="9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7C01-370D-4064-82B1-B935B2DDD260}">
  <dimension ref="A1:A14"/>
  <sheetViews>
    <sheetView workbookViewId="0">
      <selection activeCell="A14" sqref="A14"/>
    </sheetView>
  </sheetViews>
  <sheetFormatPr defaultRowHeight="15"/>
  <cols>
    <col min="1" max="1" width="20.85546875" customWidth="1"/>
    <col min="2" max="2" width="10.7109375" bestFit="1" customWidth="1"/>
    <col min="3" max="3" width="16" customWidth="1"/>
    <col min="5" max="5" width="19.140625" bestFit="1" customWidth="1"/>
  </cols>
  <sheetData>
    <row r="1" spans="1:1">
      <c r="A1" s="55" t="s">
        <v>272</v>
      </c>
    </row>
    <row r="2" spans="1:1">
      <c r="A2" s="37" t="s">
        <v>61</v>
      </c>
    </row>
    <row r="3" spans="1:1">
      <c r="A3" s="37" t="s">
        <v>65</v>
      </c>
    </row>
    <row r="4" spans="1:1">
      <c r="A4" s="37" t="s">
        <v>67</v>
      </c>
    </row>
    <row r="5" spans="1:1">
      <c r="A5" s="37" t="s">
        <v>273</v>
      </c>
    </row>
    <row r="6" spans="1:1">
      <c r="A6" t="s">
        <v>69</v>
      </c>
    </row>
    <row r="7" spans="1:1">
      <c r="A7" t="s">
        <v>274</v>
      </c>
    </row>
    <row r="8" spans="1:1">
      <c r="A8" t="s">
        <v>275</v>
      </c>
    </row>
    <row r="14" spans="1:1">
      <c r="A14" s="10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794C-A1CD-4FD1-9FA5-275EA9B13887}">
  <dimension ref="A1:E6"/>
  <sheetViews>
    <sheetView showGridLines="0" workbookViewId="0">
      <selection activeCell="G6" sqref="G6"/>
    </sheetView>
  </sheetViews>
  <sheetFormatPr defaultRowHeight="15"/>
  <cols>
    <col min="1" max="1" width="15.28515625" bestFit="1" customWidth="1"/>
    <col min="2" max="2" width="13.42578125" bestFit="1" customWidth="1"/>
    <col min="3" max="3" width="20.28515625" style="99" customWidth="1"/>
    <col min="4" max="4" width="23.7109375" bestFit="1" customWidth="1"/>
    <col min="5" max="5" width="19.140625" bestFit="1" customWidth="1"/>
    <col min="7" max="7" width="34.7109375" bestFit="1" customWidth="1"/>
  </cols>
  <sheetData>
    <row r="1" spans="1:5" ht="23.25">
      <c r="B1" s="140" t="s">
        <v>276</v>
      </c>
      <c r="C1" s="140"/>
    </row>
    <row r="2" spans="1:5">
      <c r="A2" s="14" t="s">
        <v>277</v>
      </c>
      <c r="B2" s="14" t="s">
        <v>278</v>
      </c>
      <c r="C2" s="100" t="s">
        <v>279</v>
      </c>
      <c r="D2" s="14" t="s">
        <v>280</v>
      </c>
      <c r="E2" s="14" t="s">
        <v>281</v>
      </c>
    </row>
    <row r="3" spans="1:5">
      <c r="A3" t="s">
        <v>98</v>
      </c>
      <c r="B3" t="s">
        <v>282</v>
      </c>
      <c r="C3" s="99" t="s">
        <v>283</v>
      </c>
      <c r="D3" t="s">
        <v>284</v>
      </c>
      <c r="E3" t="s">
        <v>285</v>
      </c>
    </row>
    <row r="4" spans="1:5">
      <c r="A4" t="s">
        <v>105</v>
      </c>
      <c r="B4" t="s">
        <v>286</v>
      </c>
      <c r="C4" s="99" t="s">
        <v>287</v>
      </c>
      <c r="D4" t="s">
        <v>288</v>
      </c>
      <c r="E4" t="s">
        <v>289</v>
      </c>
    </row>
    <row r="5" spans="1:5">
      <c r="A5" t="s">
        <v>290</v>
      </c>
      <c r="B5" t="s">
        <v>291</v>
      </c>
      <c r="C5" s="99" t="s">
        <v>292</v>
      </c>
      <c r="D5" t="s">
        <v>293</v>
      </c>
      <c r="E5" t="s">
        <v>294</v>
      </c>
    </row>
    <row r="6" spans="1:5">
      <c r="A6" t="s">
        <v>295</v>
      </c>
      <c r="B6" t="s">
        <v>296</v>
      </c>
      <c r="C6" s="99" t="s">
        <v>287</v>
      </c>
      <c r="D6" t="s">
        <v>297</v>
      </c>
      <c r="E6" t="s">
        <v>298</v>
      </c>
    </row>
  </sheetData>
  <mergeCells count="1">
    <mergeCell ref="B1:C1"/>
  </mergeCells>
  <dataValidations count="1">
    <dataValidation allowBlank="1" showInputMessage="1" showErrorMessage="1" sqref="B1" xr:uid="{45B0AA44-6DA2-4D1B-AFFD-6ECBA56E5C6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4551A8-31C9-49D0-8E65-8F0623A04A18}">
          <x14:formula1>
            <xm:f>Product_Master!$D$5:$D$100</xm:f>
          </x14:formula1>
          <xm:sqref>A2:A4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C54B-FC58-45C1-84BE-4C8E5BF24BD4}">
  <dimension ref="A1:E4"/>
  <sheetViews>
    <sheetView workbookViewId="0">
      <selection activeCell="H10" sqref="H10"/>
    </sheetView>
  </sheetViews>
  <sheetFormatPr defaultRowHeight="15"/>
  <cols>
    <col min="2" max="2" width="13.42578125" bestFit="1" customWidth="1"/>
    <col min="4" max="4" width="19.7109375" bestFit="1" customWidth="1"/>
    <col min="5" max="5" width="14.85546875" bestFit="1" customWidth="1"/>
  </cols>
  <sheetData>
    <row r="1" spans="1:5">
      <c r="A1" t="s">
        <v>45</v>
      </c>
      <c r="B1" t="s">
        <v>13</v>
      </c>
      <c r="C1" t="s">
        <v>91</v>
      </c>
      <c r="D1" t="s">
        <v>299</v>
      </c>
      <c r="E1" t="s">
        <v>300</v>
      </c>
    </row>
    <row r="2" spans="1:5">
      <c r="A2" t="s">
        <v>60</v>
      </c>
      <c r="B2" t="str">
        <f>_xlfn.XLOOKUP(A2, Product_Master[SKU], Product_Master[Product Name], "Unknown SKU")</f>
        <v>P1</v>
      </c>
      <c r="C2">
        <v>3</v>
      </c>
      <c r="D2" t="s">
        <v>301</v>
      </c>
      <c r="E2" t="s">
        <v>302</v>
      </c>
    </row>
    <row r="3" spans="1:5">
      <c r="A3" t="s">
        <v>66</v>
      </c>
      <c r="B3" t="str">
        <f>_xlfn.XLOOKUP(A3, Product_Master[SKU], Product_Master[Product Name], "Unknown SKU")</f>
        <v>P3</v>
      </c>
      <c r="C3">
        <v>1</v>
      </c>
      <c r="D3" s="98" t="s">
        <v>303</v>
      </c>
      <c r="E3" t="s">
        <v>304</v>
      </c>
    </row>
    <row r="4" spans="1:5">
      <c r="A4" t="s">
        <v>70</v>
      </c>
      <c r="B4" t="str">
        <f>_xlfn.XLOOKUP(A4, Product_Master[SKU], Product_Master[Product Name], "Unknown SKU")</f>
        <v>P5</v>
      </c>
      <c r="C4">
        <v>2</v>
      </c>
      <c r="D4" t="s">
        <v>305</v>
      </c>
      <c r="E4" t="s">
        <v>306</v>
      </c>
    </row>
  </sheetData>
  <dataValidations count="1">
    <dataValidation allowBlank="1" showInputMessage="1" showErrorMessage="1" sqref="A1" xr:uid="{0E926A31-75FC-4584-9464-3D2AFB44287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8BB241-4853-448C-8FC8-A4F20CAE2022}">
          <x14:formula1>
            <xm:f>Product_Master!$D$5:$D$100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2026-06-06T10:31:35Z</dcterms:created>
  <dcterms:modified xsi:type="dcterms:W3CDTF">2026-08-01T15:36:31Z</dcterms:modified>
  <cp:category/>
  <cp:contentStatus/>
</cp:coreProperties>
</file>